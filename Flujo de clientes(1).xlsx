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🏠 Pyrux" sheetId="1" r:id="rId5"/>
    <sheet state="visible" name="🤝 CRM (datos)" sheetId="2" r:id="rId6"/>
    <sheet state="visible" name="🛠️ Proyectos (datos)" sheetId="3" r:id="rId7"/>
    <sheet state="visible" name="💸 Finanzas (datos)" sheetId="4" r:id="rId8"/>
    <sheet state="visible" name="📋 Prospectos Rosario" sheetId="5" r:id="rId9"/>
    <sheet state="visible" name="⚙️ Config" sheetId="6" r:id="rId10"/>
    <sheet state="visible" name="📦 Tarifario" sheetId="7" r:id="rId11"/>
  </sheets>
  <definedNames/>
  <calcPr/>
</workbook>
</file>

<file path=xl/sharedStrings.xml><?xml version="1.0" encoding="utf-8"?>
<sst xmlns="http://schemas.openxmlformats.org/spreadsheetml/2006/main" count="683" uniqueCount="449">
  <si>
    <t>PYRUX — PANEL OPERATIVO</t>
  </si>
  <si>
    <t>Actualizado:</t>
  </si>
  <si>
    <t>💸 ESTADO FINANCIERO</t>
  </si>
  <si>
    <t>MRR Bruto (USD)</t>
  </si>
  <si>
    <t>Comisión MP</t>
  </si>
  <si>
    <t>MRR Neto (USD)</t>
  </si>
  <si>
    <t>Gastos / mes (USD)</t>
  </si>
  <si>
    <t>Resultado (USD)</t>
  </si>
  <si>
    <t>Valores</t>
  </si>
  <si>
    <t>Notas</t>
  </si>
  <si>
    <t>Débito auto 1.52%</t>
  </si>
  <si>
    <t>Ingreso real</t>
  </si>
  <si>
    <t>GWS + Claude + Dominios</t>
  </si>
  <si>
    <t>📊 PIPELINE DE VENTAS</t>
  </si>
  <si>
    <t>Clientes activos</t>
  </si>
  <si>
    <t>Prospectos identificados</t>
  </si>
  <si>
    <t>Contactados</t>
  </si>
  <si>
    <t>Propuestas enviadas</t>
  </si>
  <si>
    <t>Cerrados (últimos 60d)</t>
  </si>
  <si>
    <t>Actual</t>
  </si>
  <si>
    <t>Base Rosario</t>
  </si>
  <si>
    <t>🎟️ CUPOS DESCUENTO DESARROLLO</t>
  </si>
  <si>
    <t>Cupos totales</t>
  </si>
  <si>
    <t>Usados</t>
  </si>
  <si>
    <t>Disponibles</t>
  </si>
  <si>
    <t>Descuento</t>
  </si>
  <si>
    <t>Aplica a</t>
  </si>
  <si>
    <t>Estado</t>
  </si>
  <si>
    <t>30% sobre desarrollo</t>
  </si>
  <si>
    <t>Solo desarrollo (mant. sin descuento)</t>
  </si>
  <si>
    <t>⚠️ ALERTAS</t>
  </si>
  <si>
    <t>CRÍTICO 🔴</t>
  </si>
  <si>
    <t>MedMind sin contrato formal — riesgo de disputas o impago</t>
  </si>
  <si>
    <t>Empresa informal (sin CUIT/monotributo) — evaluar al escalar</t>
  </si>
  <si>
    <t>URGENTE 🟠</t>
  </si>
  <si>
    <t>DÉFICIT 🟠</t>
  </si>
  <si>
    <t>FECHA 🟡</t>
  </si>
  <si>
    <t>Dominio goalplanner.com.ar vence 12/02/2027 — renovar a tiempo</t>
  </si>
  <si>
    <t>Dominio pyrux.com.ar vence 25/02/2027</t>
  </si>
  <si>
    <t>Dominio medmind.com.ar vence 03/03/2027</t>
  </si>
  <si>
    <t>📌 PRÓXIMAS ACCIONES</t>
  </si>
  <si>
    <t>#</t>
  </si>
  <si>
    <t>Acción</t>
  </si>
  <si>
    <t>Prioridad</t>
  </si>
  <si>
    <t>Responsable</t>
  </si>
  <si>
    <t>Completar ficha MedMind (monto dev, contacto, fecha inicio mantenimiento)</t>
  </si>
  <si>
    <t>ALTA</t>
  </si>
  <si>
    <t>Gino / Juan</t>
  </si>
  <si>
    <t>⬜ Pendiente</t>
  </si>
  <si>
    <t>Formalizar acuerdo MedMind (contrato escrito o email confirmatorio)</t>
  </si>
  <si>
    <t>Iniciar outreach prospectos Rosario — priorizar gastronómico y retail</t>
  </si>
  <si>
    <t>Crear plantilla de propuesta/presupuesto profesional</t>
  </si>
  <si>
    <t>MEDIA</t>
  </si>
  <si>
    <t>Definir política de adelanto en proyectos (30-50% al inicio)</t>
  </si>
  <si>
    <t>Documentar flujo de trabajo: discovery → diseño → dev → revisión → entrega</t>
  </si>
  <si>
    <t>Evaluar monotributo / formalización cuando la empresa escale</t>
  </si>
  <si>
    <t>BAJA</t>
  </si>
  <si>
    <t>PYRUX — Clientes activos</t>
  </si>
  <si>
    <t>URL producción</t>
  </si>
  <si>
    <t>Actualizado: 27/03/2026</t>
  </si>
  <si>
    <t>Empresa</t>
  </si>
  <si>
    <t>Referente / Contacto</t>
  </si>
  <si>
    <t>WhatsApp</t>
  </si>
  <si>
    <t>Email</t>
  </si>
  <si>
    <t>Plan</t>
  </si>
  <si>
    <t>Dev: precio lista</t>
  </si>
  <si>
    <t>Dev: descuento aplicado</t>
  </si>
  <si>
    <t>Dev: monto cobrado</t>
  </si>
  <si>
    <t>Mant./mes (USD)</t>
  </si>
  <si>
    <t>Inicio mantenimiento</t>
  </si>
  <si>
    <t>Próximo cobro</t>
  </si>
  <si>
    <t>Forma de cobro</t>
  </si>
  <si>
    <t>Contrato firmado</t>
  </si>
  <si>
    <t>Notas internas</t>
  </si>
  <si>
    <t>MedMind</t>
  </si>
  <si>
    <t>Guillermina Bassi</t>
  </si>
  <si>
    <t>54 9 341 353-6452</t>
  </si>
  <si>
    <t>guille.bassi@hotmail.com</t>
  </si>
  <si>
    <t>Mantenimiento activo</t>
  </si>
  <si>
    <t>$300 (proyecto personalizado)</t>
  </si>
  <si>
    <t>Sin descuento</t>
  </si>
  <si>
    <t>Débito automático MP</t>
  </si>
  <si>
    <t>NO ⚠️</t>
  </si>
  <si>
    <t>Activo</t>
  </si>
  <si>
    <t>Primer cliente Pyrux. Sin contrato. Formalizar urgente.</t>
  </si>
  <si>
    <t>PYRUX — Proyectos</t>
  </si>
  <si>
    <t>Proyecto</t>
  </si>
  <si>
    <t>Cliente</t>
  </si>
  <si>
    <t>Tipo</t>
  </si>
  <si>
    <t>Entrega pactada</t>
  </si>
  <si>
    <t>Desarrollo + Mantenimiento</t>
  </si>
  <si>
    <t>Personalizado</t>
  </si>
  <si>
    <t>En producción ✓</t>
  </si>
  <si>
    <t>A COMPLETAR</t>
  </si>
  <si>
    <t>medmind.com.ar</t>
  </si>
  <si>
    <t>Primer proyecto Pyrux. Mantenimiento activo $20/mes.</t>
  </si>
  <si>
    <t>Portfolio Pyrux</t>
  </si>
  <si>
    <t>Pyrux (interno)</t>
  </si>
  <si>
    <t>Web institucional</t>
  </si>
  <si>
    <t>Propio</t>
  </si>
  <si>
    <t>—</t>
  </si>
  <si>
    <t>pyrux.com.ar</t>
  </si>
  <si>
    <t>Web propia. Ver Goal Planner y MedMind como proyectos showcaseados.</t>
  </si>
  <si>
    <t>Goal Planner</t>
  </si>
  <si>
    <t>Aplicación web</t>
  </si>
  <si>
    <t>En desarrollo</t>
  </si>
  <si>
    <t>A definir</t>
  </si>
  <si>
    <t>goalplanner.com.ar</t>
  </si>
  <si>
    <t>Producto interno Pyrux. Limpiar estructura de carpetas pendiente.</t>
  </si>
  <si>
    <t>PYRUX — Estado Financiero</t>
  </si>
  <si>
    <t>▸ INGRESOS RECURRENTES (MRR)</t>
  </si>
  <si>
    <t>Plan de mantenimiento</t>
  </si>
  <si>
    <t>Bruto/mes (USD)</t>
  </si>
  <si>
    <t>Comisión MP (1.52%)</t>
  </si>
  <si>
    <t>Neto/mes (USD)</t>
  </si>
  <si>
    <t>Fecha inicio</t>
  </si>
  <si>
    <t>Mantenimiento</t>
  </si>
  <si>
    <t>Débito MP</t>
  </si>
  <si>
    <t>Sin contrato formal</t>
  </si>
  <si>
    <t>TOTALES MRR</t>
  </si>
  <si>
    <t>▸ INGRESOS POR PROYECTO (cobro único)</t>
  </si>
  <si>
    <t>Fecha</t>
  </si>
  <si>
    <t>Plan / Descripción</t>
  </si>
  <si>
    <t>Precio lista</t>
  </si>
  <si>
    <t>Monto cobrado (USD)</t>
  </si>
  <si>
    <t>% cobrado</t>
  </si>
  <si>
    <t>Saldo pendiente</t>
  </si>
  <si>
    <t>Desarrollo MedMind (app web)</t>
  </si>
  <si>
    <t>Cobrado</t>
  </si>
  <si>
    <t>Primer cliente Pyrux</t>
  </si>
  <si>
    <t>TOTAL PROYECTOS</t>
  </si>
  <si>
    <t>▸ GASTOS FIJOS MENSUALES</t>
  </si>
  <si>
    <t>Concepto</t>
  </si>
  <si>
    <t>USD/mes</t>
  </si>
  <si>
    <t>ARS equiv.</t>
  </si>
  <si>
    <t>Frecuencia</t>
  </si>
  <si>
    <t>Próximo vencimiento</t>
  </si>
  <si>
    <t>Google Workspace (2 usuarios)</t>
  </si>
  <si>
    <t>Mensual</t>
  </si>
  <si>
    <t>$4.90 × 2 usuarios</t>
  </si>
  <si>
    <t>Claude Code</t>
  </si>
  <si>
    <t>1 cuenta compartida Gino+Juan</t>
  </si>
  <si>
    <t>Dominios (3 × $8.500 ARS/año)</t>
  </si>
  <si>
    <t>Anual prorrateado</t>
  </si>
  <si>
    <t>Ver Config</t>
  </si>
  <si>
    <t>goalplanner / pyrux / medmind</t>
  </si>
  <si>
    <t>TOTAL GASTOS</t>
  </si>
  <si>
    <t>▸ RESUMEN MENSUAL</t>
  </si>
  <si>
    <t>Métrica</t>
  </si>
  <si>
    <t>USD</t>
  </si>
  <si>
    <t>Observación</t>
  </si>
  <si>
    <t>MRR bruto</t>
  </si>
  <si>
    <t>Comisión Mercado Pago</t>
  </si>
  <si>
    <t>1.52% del bruto</t>
  </si>
  <si>
    <t>MRR neto</t>
  </si>
  <si>
    <t>Gastos fijos mensuales</t>
  </si>
  <si>
    <t>RESULTADO MENSUAL</t>
  </si>
  <si>
    <t>Positivo = ganancia / Negativo = déficit</t>
  </si>
  <si>
    <t>RESULTADO ANUAL (proyectado)</t>
  </si>
  <si>
    <t>▸ BREAKEVEN Y OBJETIVOS</t>
  </si>
  <si>
    <t>Para cubrir gastos necesitás un MRR neto de:</t>
  </si>
  <si>
    <t>MRR neto actual:</t>
  </si>
  <si>
    <t>Falta para breakeven:</t>
  </si>
  <si>
    <t>Estás en:</t>
  </si>
  <si>
    <t>▸ PROYECCIÓN 6 MESES (clientes actuales, sin nuevos)</t>
  </si>
  <si>
    <t>Mes</t>
  </si>
  <si>
    <t>Ingresos recurrentes</t>
  </si>
  <si>
    <t>Gastos</t>
  </si>
  <si>
    <t>Resultado</t>
  </si>
  <si>
    <t>Acumulado</t>
  </si>
  <si>
    <t>PYRUX — Base de prospectos Rosario</t>
  </si>
  <si>
    <t>Actualizado: 27/03/2026 — 30 prospectos identificados</t>
  </si>
  <si>
    <t>Nombre del negocio</t>
  </si>
  <si>
    <t>Sector / Rubro</t>
  </si>
  <si>
    <t>Estado web</t>
  </si>
  <si>
    <t>Dirección / Zona</t>
  </si>
  <si>
    <t>Instagram</t>
  </si>
  <si>
    <t>Sitio web</t>
  </si>
  <si>
    <t>Por qué es prospecto</t>
  </si>
  <si>
    <t>Servicio sugerido</t>
  </si>
  <si>
    <t>Fuente</t>
  </si>
  <si>
    <t>Estado outreach</t>
  </si>
  <si>
    <t>Estudio Priotti</t>
  </si>
  <si>
    <t>Estudio contable</t>
  </si>
  <si>
    <t>Web desactualizada</t>
  </si>
  <si>
    <t>Rosario centro</t>
  </si>
  <si>
    <t>estudiopriotti.com</t>
  </si>
  <si>
    <t>Sitio anticuado, sin SSL. Perfil profesional fuerte.</t>
  </si>
  <si>
    <t>Rediseño web + SSL</t>
  </si>
  <si>
    <t>Búsqueda Google</t>
  </si>
  <si>
    <t>Sin contactar</t>
  </si>
  <si>
    <t>Estudio Herusa</t>
  </si>
  <si>
    <t>Rosario</t>
  </si>
  <si>
    <t>estudiocontableherusa.com.ar</t>
  </si>
  <si>
    <t>Sitio sin blog ni portal de clientes, diseño viejo.</t>
  </si>
  <si>
    <t>Rediseño + portal clientes</t>
  </si>
  <si>
    <t>Guastella &amp; Asoc.</t>
  </si>
  <si>
    <t>Rosario Santa Fe</t>
  </si>
  <si>
    <t>estudiocontablegya.com.ar</t>
  </si>
  <si>
    <t>30+ años, sitio brochure sin actualizaciones.</t>
  </si>
  <si>
    <t>Rediseño web</t>
  </si>
  <si>
    <t>Frasesores</t>
  </si>
  <si>
    <t>frasesores.com.ar</t>
  </si>
  <si>
    <t>Sitio con sistema de compra genérico, nada profesional.</t>
  </si>
  <si>
    <t>Rediseño completo</t>
  </si>
  <si>
    <t>Contador independiente CPCE II</t>
  </si>
  <si>
    <t>Sin web</t>
  </si>
  <si>
    <t>Rosario (múltiples)</t>
  </si>
  <si>
    <t>Miles de contadores matriculados sin web. Target masivo.</t>
  </si>
  <si>
    <t>Landing page profesional</t>
  </si>
  <si>
    <t>CPCE Cámara II</t>
  </si>
  <si>
    <t>Chiana &amp; Cigno Estudio Jurídico</t>
  </si>
  <si>
    <t>Estudio jurídico</t>
  </si>
  <si>
    <t>Solo en directorio. Firma joven, diferenciación posible.</t>
  </si>
  <si>
    <t>Sitio institucional</t>
  </si>
  <si>
    <t>Legal.com.ar</t>
  </si>
  <si>
    <t>Moreira &amp; Asociados</t>
  </si>
  <si>
    <t>Jujuy 1778 of.2</t>
  </si>
  <si>
    <t>Sedes en Rosario, San Lorenzo y Casilda. Sin web propia.</t>
  </si>
  <si>
    <t>Sitio multi-sede</t>
  </si>
  <si>
    <t>Blando Figueroa y Asociados</t>
  </si>
  <si>
    <t>Solo directorio. Fuerte en penal, sin identidad digital.</t>
  </si>
  <si>
    <t>Copes &amp; Asociados</t>
  </si>
  <si>
    <t>Equipo de profesionales, cero presencia web propia.</t>
  </si>
  <si>
    <t>V&amp;C Estudio Jurídico</t>
  </si>
  <si>
    <t>Rosario + Arteaga</t>
  </si>
  <si>
    <t>Tres sedes. Oportunidad de CMS multi-sede.</t>
  </si>
  <si>
    <t>Sitio + CMS multi-sede</t>
  </si>
  <si>
    <t>Robiolo &amp; Asociados</t>
  </si>
  <si>
    <t>Enfocados en empresas. Ticket alto potencial.</t>
  </si>
  <si>
    <t>Sitio institucional premium</t>
  </si>
  <si>
    <t>Centro de Estética Oroño</t>
  </si>
  <si>
    <t>Centro de estética</t>
  </si>
  <si>
    <t>Bv. Oroño, Rosario</t>
  </si>
  <si>
    <t>@esteticaorono</t>
  </si>
  <si>
    <t>16K seguidores en IG. Alta demanda probada, sin web.</t>
  </si>
  <si>
    <t>Landing + sistema de turnos</t>
  </si>
  <si>
    <t>Mudra Rosario</t>
  </si>
  <si>
    <t>@mudrarosario</t>
  </si>
  <si>
    <t>Solo Instagram. Formato spa = ticket alto.</t>
  </si>
  <si>
    <t>Web + reservas online</t>
  </si>
  <si>
    <t>Kymè Studio</t>
  </si>
  <si>
    <t>Mariano Moreno 1739</t>
  </si>
  <si>
    <t>5★ en Fresha, muy buenas reseñas. Sin web propia.</t>
  </si>
  <si>
    <t>Landing + turnos</t>
  </si>
  <si>
    <t>Fresha</t>
  </si>
  <si>
    <t>Tania — El Amor Por Tu Piel</t>
  </si>
  <si>
    <t>Bv. Rondeau 1837</t>
  </si>
  <si>
    <t>Buenas reseñas en Fresha, sin activo digital propio.</t>
  </si>
  <si>
    <t>Landing + reservas</t>
  </si>
  <si>
    <t>Estetica Médica Brarda</t>
  </si>
  <si>
    <t>esteticamedicabrarda.com</t>
  </si>
  <si>
    <t>Sitio desactualizado, sin SSL. Procedimientos médicos.</t>
  </si>
  <si>
    <t>Rediseño + SSL + credenciales</t>
  </si>
  <si>
    <t>Pendiente</t>
  </si>
  <si>
    <t>@blush.rosario</t>
  </si>
  <si>
    <t>E-commerce / retail</t>
  </si>
  <si>
    <t>46K seguidores IG, venta solo por DM. Ideal tienda online.</t>
  </si>
  <si>
    <t>E-commerce / tienda online</t>
  </si>
  <si>
    <t>GC Representaciones</t>
  </si>
  <si>
    <t>@gc.representaciones</t>
  </si>
  <si>
    <t>37K seguidores. Venta por redes, gran oportunidad e-comm.</t>
  </si>
  <si>
    <t>Plataforma e-commerce</t>
  </si>
  <si>
    <t>Serendipia Rosario</t>
  </si>
  <si>
    <t>@serendipia.rosario</t>
  </si>
  <si>
    <t>Activa en IG. Emprendimiento listo para escalar.</t>
  </si>
  <si>
    <t>Tienda online</t>
  </si>
  <si>
    <t>Ferretarías / mueblerías barrio</t>
  </si>
  <si>
    <t>Rosario (varios)</t>
  </si>
  <si>
    <t>Sin link a sitio en directorio. Universo amplio.</t>
  </si>
  <si>
    <t>Landing + catálogo</t>
  </si>
  <si>
    <t>Directorio local</t>
  </si>
  <si>
    <t>Excalibur (Holiday Inn)</t>
  </si>
  <si>
    <t>Gastronomía</t>
  </si>
  <si>
    <t>Web existente</t>
  </si>
  <si>
    <t>Dorrego 450, Centro</t>
  </si>
  <si>
    <t>@excaliburgourmet</t>
  </si>
  <si>
    <t>holidayinnrosario.com</t>
  </si>
  <si>
    <t>4.7★ TripAdvisor, buen alcance digital pero puede crecer.</t>
  </si>
  <si>
    <t>Gestión RRSS + contenido</t>
  </si>
  <si>
    <t>TripAdvisor</t>
  </si>
  <si>
    <t>Chinchibira</t>
  </si>
  <si>
    <t>Santiago 101, Pichincha</t>
  </si>
  <si>
    <t>@chinchibirabar</t>
  </si>
  <si>
    <t>Bar #1 TripAdvisor Rosario 2025. 4.6★, 950 opiniones.</t>
  </si>
  <si>
    <t>Web + RRSS + WhatsApp marketing</t>
  </si>
  <si>
    <t>Chicharra Asador</t>
  </si>
  <si>
    <t>Pueyrredón 1, Centro</t>
  </si>
  <si>
    <t>@chicharra_rosario</t>
  </si>
  <si>
    <t>538 opiniones 4.4★. Sin web propia.</t>
  </si>
  <si>
    <t>Landing + reservas online</t>
  </si>
  <si>
    <t>Los Jardines (Bar &amp; Grill)</t>
  </si>
  <si>
    <t>España y El Río, Costanera</t>
  </si>
  <si>
    <t>@losjardinesrosario</t>
  </si>
  <si>
    <t>losjardinesenrosario.com</t>
  </si>
  <si>
    <t>770 opiniones 4.1★. Web existente, RRSS activo.</t>
  </si>
  <si>
    <t>Mejora web + CMS</t>
  </si>
  <si>
    <t>Vision Hair Studio</t>
  </si>
  <si>
    <t>Barbería</t>
  </si>
  <si>
    <t>Dorrego 90 PB, Centro</t>
  </si>
  <si>
    <t>@vision.hs_</t>
  </si>
  <si>
    <t>1.528 reviews 5.0★ en Fresha. Fuerte boca a boca.</t>
  </si>
  <si>
    <t>Landing + reservas + RRSS</t>
  </si>
  <si>
    <t>Essenza Barbería</t>
  </si>
  <si>
    <t>Av. Provincias Unidas 815</t>
  </si>
  <si>
    <t>@essenzabarberia</t>
  </si>
  <si>
    <t>5.0★ Fresha 2026. Sin web, alta competencia en el rubro.</t>
  </si>
  <si>
    <t>Be and Feel (Estética)</t>
  </si>
  <si>
    <t>Entre Ríos 176, Centro</t>
  </si>
  <si>
    <t>@beandfeelrosario</t>
  </si>
  <si>
    <t>13K seguidores IG activo. Sin web propia.</t>
  </si>
  <si>
    <t>Web + reservas + RRSS</t>
  </si>
  <si>
    <t>CM Dental Rosario</t>
  </si>
  <si>
    <t>Salud / Odontología</t>
  </si>
  <si>
    <t>Paraguay 1227 PB</t>
  </si>
  <si>
    <t>@cmdentalrosario</t>
  </si>
  <si>
    <t>cmdentalrosario.com.ar</t>
  </si>
  <si>
    <t>Clínica moderna con web. Puede mejorar con SEO y contenido.</t>
  </si>
  <si>
    <t>Mejora web + SEO + CMS</t>
  </si>
  <si>
    <t>Google</t>
  </si>
  <si>
    <t>O2 Gimnasio</t>
  </si>
  <si>
    <t>Fitness</t>
  </si>
  <si>
    <t>Av. Pellegrini 614</t>
  </si>
  <si>
    <t>@o2gimnasio</t>
  </si>
  <si>
    <t>o2gimnasio.com.ar</t>
  </si>
  <si>
    <t>Presente en búsquedas locales. Web funcional.</t>
  </si>
  <si>
    <t>Mejora web + RRSS</t>
  </si>
  <si>
    <t>Z Market (Ropa urbana)</t>
  </si>
  <si>
    <t>Moda / Comercio</t>
  </si>
  <si>
    <t>Av. Santa Fe 2684</t>
  </si>
  <si>
    <t>@zmarketrosario</t>
  </si>
  <si>
    <t>facebook.com/zmarketros</t>
  </si>
  <si>
    <t>Solo FB/IG activo. Sin tienda online propia.</t>
  </si>
  <si>
    <t>Instagram/Facebook</t>
  </si>
  <si>
    <t>PYRUX — Configuración global</t>
  </si>
  <si>
    <t>Última actualización:</t>
  </si>
  <si>
    <t>PARÁMETROS FINANCIEROS</t>
  </si>
  <si>
    <t>Valor</t>
  </si>
  <si>
    <t>Unidad</t>
  </si>
  <si>
    <t>Tipo de cambio USD → ARS (compra)</t>
  </si>
  <si>
    <t>ARS/USD</t>
  </si>
  <si>
    <t>Actualizar mensualmente</t>
  </si>
  <si>
    <t>Tipo de cambio USD → ARS (venta)</t>
  </si>
  <si>
    <t>Usar para convertir gastos en ARS</t>
  </si>
  <si>
    <t>Comisión Mercado Pago (débito automático)</t>
  </si>
  <si>
    <t>%</t>
  </si>
  <si>
    <t>1.52% sobre cada cobro</t>
  </si>
  <si>
    <t>DESCUENTO DE LANZAMIENTO</t>
  </si>
  <si>
    <t>clientes</t>
  </si>
  <si>
    <t>30% OFF en desarrollo (mantenimiento sin descuento)</t>
  </si>
  <si>
    <t>Cupos usados</t>
  </si>
  <si>
    <t>Actualizar al cerrar cada cliente</t>
  </si>
  <si>
    <t>Cupos disponibles</t>
  </si>
  <si>
    <t>GASTOS FIJOS MENSUALES</t>
  </si>
  <si>
    <t>Detalle</t>
  </si>
  <si>
    <t>$4.90/usuario × 2</t>
  </si>
  <si>
    <t>Una cuenta compartida</t>
  </si>
  <si>
    <t>Dominios (amortización mensual)</t>
  </si>
  <si>
    <t>Anual (prorrateado)</t>
  </si>
  <si>
    <t>3 dominios × $8.500 ARS/año</t>
  </si>
  <si>
    <t>TOTAL GASTOS MENSUALES</t>
  </si>
  <si>
    <t>GASTOS ANUALES (dominios)</t>
  </si>
  <si>
    <t>ARS/año</t>
  </si>
  <si>
    <t>USD equiv.</t>
  </si>
  <si>
    <t>Vencimiento</t>
  </si>
  <si>
    <t>Dominio</t>
  </si>
  <si>
    <t>TOTAL DOMINIOS ARS/año</t>
  </si>
  <si>
    <t>DATOS DE LA EMPRESA</t>
  </si>
  <si>
    <t>Nombre</t>
  </si>
  <si>
    <t>Pyrux</t>
  </si>
  <si>
    <t>Ciudad</t>
  </si>
  <si>
    <t>Rosario, Santa Fe</t>
  </si>
  <si>
    <t>Situación legal</t>
  </si>
  <si>
    <t>Informal (en negro)</t>
  </si>
  <si>
    <t>Formalizar al escalar</t>
  </si>
  <si>
    <t>ginorubengiorgi@pyrux.com.ar</t>
  </si>
  <si>
    <t>@pyrux_labs</t>
  </si>
  <si>
    <t>PYRUX — Tarifario de servicios</t>
  </si>
  <si>
    <t>Última actualización: 27/03/2026</t>
  </si>
  <si>
    <t>Descuento lanzamiento 30% activo (mantenimiento sin descuento)</t>
  </si>
  <si>
    <t>▸ PLANES ESTÁNDAR (sitios web)</t>
  </si>
  <si>
    <t>Precio c/descuento</t>
  </si>
  <si>
    <t>Mant./mes</t>
  </si>
  <si>
    <t>Entrega</t>
  </si>
  <si>
    <t>Respuesta soporte</t>
  </si>
  <si>
    <t>Incluye CMS</t>
  </si>
  <si>
    <t>Growth</t>
  </si>
  <si>
    <t>$300 USD</t>
  </si>
  <si>
    <t>$210 USD</t>
  </si>
  <si>
    <t>$40 USD</t>
  </si>
  <si>
    <t>2 semanas</t>
  </si>
  <si>
    <t>48hs</t>
  </si>
  <si>
    <t>No</t>
  </si>
  <si>
    <t>Pro</t>
  </si>
  <si>
    <t>$500 USD</t>
  </si>
  <si>
    <t>$350 USD</t>
  </si>
  <si>
    <t>$50 USD</t>
  </si>
  <si>
    <t>3-4 semanas</t>
  </si>
  <si>
    <t>Sí</t>
  </si>
  <si>
    <t>Business</t>
  </si>
  <si>
    <t>Desde $800 USD</t>
  </si>
  <si>
    <t>Desde $560 USD</t>
  </si>
  <si>
    <t>$70 USD</t>
  </si>
  <si>
    <t>4+ semanas</t>
  </si>
  <si>
    <t>24hs</t>
  </si>
  <si>
    <t>▸ PLANES E-COMMERCE</t>
  </si>
  <si>
    <t>E-Commerce Básico</t>
  </si>
  <si>
    <t>$800 USD</t>
  </si>
  <si>
    <t>$560 USD</t>
  </si>
  <si>
    <t>4 semanas</t>
  </si>
  <si>
    <t>E-Commerce Pro</t>
  </si>
  <si>
    <t>$2.000 USD</t>
  </si>
  <si>
    <t>$1.400 USD</t>
  </si>
  <si>
    <t>$200 USD</t>
  </si>
  <si>
    <t>6-8 semanas</t>
  </si>
  <si>
    <t>E-Commerce Enterprise</t>
  </si>
  <si>
    <t>Consultar</t>
  </si>
  <si>
    <t>A convenir</t>
  </si>
  <si>
    <t>SLA dedicado</t>
  </si>
  <si>
    <t>▸ PERSONALIZADO (sistemas, IA, plataformas)</t>
  </si>
  <si>
    <t>▸ QUÉ INCLUYE CADA MANTENIMIENTO</t>
  </si>
  <si>
    <t>Incluye</t>
  </si>
  <si>
    <t>Growth ($40)</t>
  </si>
  <si>
    <t>Pro ($50)</t>
  </si>
  <si>
    <t>Business ($70)</t>
  </si>
  <si>
    <t>Hosting y SSL</t>
  </si>
  <si>
    <t>✓</t>
  </si>
  <si>
    <t>Monitoreo 24/7</t>
  </si>
  <si>
    <t>Backup automático</t>
  </si>
  <si>
    <t>Semanal</t>
  </si>
  <si>
    <t>Semanal + retención extendida</t>
  </si>
  <si>
    <t>Cambios menores (textos, imágenes)</t>
  </si>
  <si>
    <t>Actualizaciones de seguridad</t>
  </si>
  <si>
    <t>Soporte técnico incluido</t>
  </si>
  <si>
    <t>Canal directo 48hs</t>
  </si>
  <si>
    <t>Hasta 2hs/mes, 48hs</t>
  </si>
  <si>
    <t>Hasta 4hs/mes, 24hs</t>
  </si>
  <si>
    <t>Reporte mensual de analíticas</t>
  </si>
  <si>
    <t>✓ Avanzado</t>
  </si>
  <si>
    <t>Actualizaciones y mejoras continuas</t>
  </si>
  <si>
    <t>▸ NOTAS COMERCIALES</t>
  </si>
  <si>
    <t>Moneda de cotización</t>
  </si>
  <si>
    <t>USD (pago en pesos al tipo de cambio del día o en dólares)</t>
  </si>
  <si>
    <t>Política de cobro (a definir)</t>
  </si>
  <si>
    <t>30% adelanto + 70% a la entrega (PENDIENTE DEFINIR)</t>
  </si>
  <si>
    <t>Clientes de mantenimiento</t>
  </si>
  <si>
    <t>Cobro mensual por débito automático Mercado Pago</t>
  </si>
  <si>
    <t>Sin mantenimiento</t>
  </si>
  <si>
    <t>Se entrega el proyecto documentado y listo para administración propia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</si>
</sst>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dd/mm/yyyy"/>
    <numFmt numFmtId="166" formatCode="&quot;$&quot;#,##0"/>
    <numFmt numFmtId="167" formatCode="mmmm yyyy"/>
  </numFmts>
  <fonts count="17">
    <font>
      <sz val="10.0"/>
      <color rgb="FF000000"/>
      <name val="Arial"/>
      <scheme val="minor"/>
    </font>
    <font>
      <b/>
      <sz val="14.0"/>
      <color rgb="FFFFFFFF"/>
      <name val="Arial"/>
    </font>
    <font>
      <sz val="9.0"/>
      <color rgb="FFFFFFFF"/>
      <name val="Arial"/>
    </font>
    <font>
      <color theme="1"/>
      <name val="Arial"/>
      <scheme val="minor"/>
    </font>
    <font>
      <b/>
      <sz val="11.0"/>
      <color rgb="FFFFFFFF"/>
      <name val="Arial"/>
    </font>
    <font>
      <b/>
      <sz val="9.0"/>
      <color rgb="FF000000"/>
      <name val="Arial"/>
    </font>
    <font>
      <b/>
      <sz val="12.0"/>
      <color theme="1"/>
      <name val="Arial"/>
    </font>
    <font>
      <i/>
      <sz val="9.0"/>
      <color rgb="FF666666"/>
      <name val="Arial"/>
    </font>
    <font>
      <b/>
      <sz val="13.0"/>
      <color rgb="FFFFFFFF"/>
      <name val="Arial"/>
    </font>
    <font>
      <u/>
      <color rgb="FF0000FF"/>
    </font>
    <font>
      <u/>
      <color rgb="FF0000FF"/>
    </font>
    <font>
      <u/>
      <color rgb="FF0000FF"/>
    </font>
    <font>
      <b/>
      <sz val="10.0"/>
      <color rgb="FFFFFFFF"/>
      <name val="Arial"/>
    </font>
    <font>
      <b/>
      <sz val="10.0"/>
      <color theme="1"/>
      <name val="Arial"/>
    </font>
    <font>
      <u/>
      <color rgb="FF0000FF"/>
    </font>
    <font>
      <u/>
      <color rgb="FF0000FF"/>
    </font>
    <font>
      <b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A2744"/>
        <bgColor rgb="FF1A2744"/>
      </patternFill>
    </fill>
    <fill>
      <patternFill patternType="solid">
        <fgColor rgb="FF2C4989"/>
        <bgColor rgb="FF2C4989"/>
      </patternFill>
    </fill>
    <fill>
      <patternFill patternType="solid">
        <fgColor rgb="FFEFEFEF"/>
        <bgColor rgb="FFEFEFEF"/>
      </patternFill>
    </fill>
    <fill>
      <patternFill patternType="solid">
        <fgColor rgb="FF4471C4"/>
        <bgColor rgb="FF4471C4"/>
      </patternFill>
    </fill>
    <fill>
      <patternFill patternType="solid">
        <fgColor rgb="FFD5EAF8"/>
        <bgColor rgb="FFD5EAF8"/>
      </patternFill>
    </fill>
    <fill>
      <patternFill patternType="solid">
        <fgColor rgb="FFFFFFFF"/>
        <bgColor rgb="FFFFFFFF"/>
      </patternFill>
    </fill>
    <fill>
      <patternFill patternType="solid">
        <fgColor rgb="FFEBF4FA"/>
        <bgColor rgb="FFEBF4FA"/>
      </patternFill>
    </fill>
    <fill>
      <patternFill patternType="solid">
        <fgColor rgb="FFFCD0CC"/>
        <bgColor rgb="FFFCD0CC"/>
      </patternFill>
    </fill>
    <fill>
      <patternFill patternType="solid">
        <fgColor rgb="FFFCF0DC"/>
        <bgColor rgb="FFFCF0DC"/>
      </patternFill>
    </fill>
    <fill>
      <patternFill patternType="solid">
        <fgColor rgb="FFFDF8DD"/>
        <bgColor rgb="FFFDF8DD"/>
      </patternFill>
    </fill>
    <fill>
      <patternFill patternType="solid">
        <fgColor rgb="FFD4F3DF"/>
        <bgColor rgb="FFD4F3DF"/>
      </patternFill>
    </fill>
    <fill>
      <patternFill patternType="solid">
        <fgColor rgb="FFDFF8E1"/>
        <bgColor rgb="FFDFF8E1"/>
      </patternFill>
    </fill>
    <fill>
      <patternFill patternType="solid">
        <fgColor rgb="FFECE2F8"/>
        <bgColor rgb="FFECE2F8"/>
      </patternFill>
    </fill>
  </fills>
  <borders count="7">
    <border/>
    <border>
      <left style="medium">
        <color rgb="FF7F7F7F"/>
      </left>
      <right style="thin">
        <color rgb="FFCCCCCC"/>
      </right>
      <top style="medium">
        <color rgb="FF7F7F7F"/>
      </top>
      <bottom style="medium">
        <color rgb="FF7F7F7F"/>
      </bottom>
    </border>
    <border>
      <left style="thin">
        <color rgb="FFCCCCCC"/>
      </left>
      <right style="thin">
        <color rgb="FFCCCCCC"/>
      </right>
      <top style="medium">
        <color rgb="FF7F7F7F"/>
      </top>
      <bottom style="medium">
        <color rgb="FF7F7F7F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medium">
        <color rgb="FF7F7F7F"/>
      </right>
      <top style="medium">
        <color rgb="FF7F7F7F"/>
      </top>
      <bottom style="medium">
        <color rgb="FF7F7F7F"/>
      </bottom>
    </border>
    <border>
      <left style="thin">
        <color rgb="FFCCCCCC"/>
      </left>
      <right style="thin">
        <color rgb="FFCCCCCC"/>
      </right>
      <top style="thin">
        <color rgb="FFCCCCCC"/>
      </top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2" fillId="2" fontId="1" numFmtId="0" xfId="0" applyAlignment="1" applyBorder="1" applyFont="1">
      <alignment vertical="center"/>
    </xf>
    <xf borderId="3" fillId="3" fontId="2" numFmtId="0" xfId="0" applyAlignment="1" applyBorder="1" applyFill="1" applyFont="1">
      <alignment readingOrder="0"/>
    </xf>
    <xf borderId="3" fillId="3" fontId="2" numFmtId="0" xfId="0" applyBorder="1" applyFont="1"/>
    <xf borderId="4" fillId="4" fontId="3" numFmtId="0" xfId="0" applyAlignment="1" applyBorder="1" applyFill="1" applyFont="1">
      <alignment readingOrder="0"/>
    </xf>
    <xf borderId="4" fillId="4" fontId="3" numFmtId="0" xfId="0" applyBorder="1" applyFont="1"/>
    <xf borderId="4" fillId="5" fontId="4" numFmtId="0" xfId="0" applyAlignment="1" applyBorder="1" applyFill="1" applyFont="1">
      <alignment readingOrder="0" vertical="center"/>
    </xf>
    <xf borderId="4" fillId="5" fontId="4" numFmtId="0" xfId="0" applyAlignment="1" applyBorder="1" applyFont="1">
      <alignment vertical="center"/>
    </xf>
    <xf borderId="4" fillId="6" fontId="5" numFmtId="0" xfId="0" applyAlignment="1" applyBorder="1" applyFill="1" applyFont="1">
      <alignment readingOrder="0" vertical="center"/>
    </xf>
    <xf borderId="4" fillId="7" fontId="6" numFmtId="0" xfId="0" applyAlignment="1" applyBorder="1" applyFill="1" applyFont="1">
      <alignment readingOrder="0"/>
    </xf>
    <xf borderId="4" fillId="7" fontId="6" numFmtId="164" xfId="0" applyAlignment="1" applyBorder="1" applyFont="1" applyNumberFormat="1">
      <alignment readingOrder="0"/>
    </xf>
    <xf borderId="4" fillId="7" fontId="6" numFmtId="164" xfId="0" applyAlignment="1" applyBorder="1" applyFont="1" applyNumberFormat="1">
      <alignment horizontal="right" readingOrder="0"/>
    </xf>
    <xf borderId="4" fillId="7" fontId="6" numFmtId="0" xfId="0" applyAlignment="1" applyBorder="1" applyFont="1">
      <alignment horizontal="right" readingOrder="0"/>
    </xf>
    <xf borderId="4" fillId="8" fontId="7" numFmtId="0" xfId="0" applyAlignment="1" applyBorder="1" applyFill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4" fillId="6" fontId="5" numFmtId="0" xfId="0" applyAlignment="1" applyBorder="1" applyFont="1">
      <alignment vertical="center"/>
    </xf>
    <xf borderId="4" fillId="7" fontId="3" numFmtId="0" xfId="0" applyAlignment="1" applyBorder="1" applyFont="1">
      <alignment readingOrder="0"/>
    </xf>
    <xf borderId="4" fillId="8" fontId="3" numFmtId="0" xfId="0" applyBorder="1" applyFont="1"/>
    <xf borderId="4" fillId="9" fontId="3" numFmtId="0" xfId="0" applyAlignment="1" applyBorder="1" applyFill="1" applyFont="1">
      <alignment readingOrder="0"/>
    </xf>
    <xf borderId="4" fillId="9" fontId="3" numFmtId="0" xfId="0" applyBorder="1" applyFont="1"/>
    <xf borderId="4" fillId="10" fontId="3" numFmtId="0" xfId="0" applyAlignment="1" applyBorder="1" applyFill="1" applyFont="1">
      <alignment readingOrder="0"/>
    </xf>
    <xf borderId="4" fillId="10" fontId="3" numFmtId="0" xfId="0" applyBorder="1" applyFont="1"/>
    <xf borderId="4" fillId="11" fontId="3" numFmtId="0" xfId="0" applyAlignment="1" applyBorder="1" applyFill="1" applyFont="1">
      <alignment readingOrder="0"/>
    </xf>
    <xf borderId="4" fillId="11" fontId="3" numFmtId="0" xfId="0" applyBorder="1" applyFont="1"/>
    <xf borderId="4" fillId="7" fontId="3" numFmtId="0" xfId="0" applyBorder="1" applyFont="1"/>
    <xf borderId="4" fillId="8" fontId="3" numFmtId="0" xfId="0" applyAlignment="1" applyBorder="1" applyFont="1">
      <alignment readingOrder="0"/>
    </xf>
    <xf borderId="1" fillId="2" fontId="8" numFmtId="0" xfId="0" applyAlignment="1" applyBorder="1" applyFont="1">
      <alignment readingOrder="0" vertical="center"/>
    </xf>
    <xf borderId="2" fillId="2" fontId="8" numFmtId="0" xfId="0" applyAlignment="1" applyBorder="1" applyFont="1">
      <alignment readingOrder="0" vertical="center"/>
    </xf>
    <xf borderId="5" fillId="2" fontId="8" numFmtId="0" xfId="0" applyAlignment="1" applyBorder="1" applyFont="1">
      <alignment vertical="center"/>
    </xf>
    <xf borderId="6" fillId="4" fontId="3" numFmtId="0" xfId="0" applyBorder="1" applyFont="1"/>
    <xf borderId="1" fillId="6" fontId="5" numFmtId="0" xfId="0" applyAlignment="1" applyBorder="1" applyFont="1">
      <alignment readingOrder="0" vertical="center"/>
    </xf>
    <xf borderId="2" fillId="6" fontId="5" numFmtId="0" xfId="0" applyAlignment="1" applyBorder="1" applyFont="1">
      <alignment readingOrder="0" vertical="center"/>
    </xf>
    <xf borderId="5" fillId="6" fontId="5" numFmtId="0" xfId="0" applyAlignment="1" applyBorder="1" applyFont="1">
      <alignment readingOrder="0" vertical="center"/>
    </xf>
    <xf borderId="3" fillId="7" fontId="3" numFmtId="0" xfId="0" applyAlignment="1" applyBorder="1" applyFont="1">
      <alignment readingOrder="0"/>
    </xf>
    <xf borderId="3" fillId="7" fontId="3" numFmtId="164" xfId="0" applyAlignment="1" applyBorder="1" applyFont="1" applyNumberFormat="1">
      <alignment readingOrder="0"/>
    </xf>
    <xf borderId="3" fillId="7" fontId="3" numFmtId="165" xfId="0" applyAlignment="1" applyBorder="1" applyFont="1" applyNumberFormat="1">
      <alignment readingOrder="0"/>
    </xf>
    <xf borderId="3" fillId="7" fontId="3" numFmtId="0" xfId="0" applyAlignment="1" applyBorder="1" applyFont="1">
      <alignment readingOrder="0" shrinkToFit="0" wrapText="1"/>
    </xf>
    <xf borderId="4" fillId="8" fontId="3" numFmtId="0" xfId="0" applyAlignment="1" applyBorder="1" applyFont="1">
      <alignment shrinkToFit="0" wrapText="1"/>
    </xf>
    <xf borderId="4" fillId="7" fontId="3" numFmtId="0" xfId="0" applyAlignment="1" applyBorder="1" applyFont="1">
      <alignment shrinkToFit="0" wrapText="1"/>
    </xf>
    <xf borderId="2" fillId="2" fontId="8" numFmtId="0" xfId="0" applyAlignment="1" applyBorder="1" applyFont="1">
      <alignment vertical="center"/>
    </xf>
    <xf borderId="3" fillId="12" fontId="3" numFmtId="0" xfId="0" applyAlignment="1" applyBorder="1" applyFill="1" applyFont="1">
      <alignment readingOrder="0"/>
    </xf>
    <xf borderId="3" fillId="12" fontId="9" numFmtId="0" xfId="0" applyAlignment="1" applyBorder="1" applyFont="1">
      <alignment readingOrder="0"/>
    </xf>
    <xf borderId="3" fillId="12" fontId="3" numFmtId="0" xfId="0" applyAlignment="1" applyBorder="1" applyFont="1">
      <alignment readingOrder="0" shrinkToFit="0" wrapText="1"/>
    </xf>
    <xf borderId="4" fillId="8" fontId="10" numFmtId="0" xfId="0" applyAlignment="1" applyBorder="1" applyFont="1">
      <alignment readingOrder="0"/>
    </xf>
    <xf borderId="4" fillId="8" fontId="3" numFmtId="0" xfId="0" applyAlignment="1" applyBorder="1" applyFont="1">
      <alignment readingOrder="0" shrinkToFit="0" wrapText="1"/>
    </xf>
    <xf borderId="4" fillId="10" fontId="11" numFmtId="0" xfId="0" applyAlignment="1" applyBorder="1" applyFont="1">
      <alignment readingOrder="0"/>
    </xf>
    <xf borderId="4" fillId="1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shrinkToFit="0" wrapText="1"/>
    </xf>
    <xf borderId="5" fillId="2" fontId="8" numFmtId="0" xfId="0" applyAlignment="1" applyBorder="1" applyFont="1">
      <alignment readingOrder="0" vertical="center"/>
    </xf>
    <xf borderId="4" fillId="5" fontId="12" numFmtId="0" xfId="0" applyAlignment="1" applyBorder="1" applyFont="1">
      <alignment readingOrder="0" vertical="center"/>
    </xf>
    <xf borderId="4" fillId="5" fontId="12" numFmtId="0" xfId="0" applyAlignment="1" applyBorder="1" applyFont="1">
      <alignment vertical="center"/>
    </xf>
    <xf borderId="4" fillId="7" fontId="3" numFmtId="165" xfId="0" applyAlignment="1" applyBorder="1" applyFont="1" applyNumberFormat="1">
      <alignment readingOrder="0"/>
    </xf>
    <xf borderId="4" fillId="4" fontId="13" numFmtId="0" xfId="0" applyAlignment="1" applyBorder="1" applyFont="1">
      <alignment readingOrder="0"/>
    </xf>
    <xf borderId="4" fillId="4" fontId="13" numFmtId="0" xfId="0" applyBorder="1" applyFont="1"/>
    <xf borderId="0" fillId="0" fontId="3" numFmtId="0" xfId="0" applyAlignment="1" applyFont="1">
      <alignment readingOrder="0"/>
    </xf>
    <xf borderId="4" fillId="7" fontId="3" numFmtId="166" xfId="0" applyAlignment="1" applyBorder="1" applyFont="1" applyNumberFormat="1">
      <alignment readingOrder="0"/>
    </xf>
    <xf borderId="4" fillId="7" fontId="3" numFmtId="9" xfId="0" applyAlignment="1" applyBorder="1" applyFont="1" applyNumberFormat="1">
      <alignment readingOrder="0"/>
    </xf>
    <xf borderId="4" fillId="7" fontId="13" numFmtId="0" xfId="0" applyAlignment="1" applyBorder="1" applyFont="1">
      <alignment readingOrder="0"/>
    </xf>
    <xf borderId="4" fillId="7" fontId="13" numFmtId="0" xfId="0" applyBorder="1" applyFont="1"/>
    <xf borderId="4" fillId="8" fontId="12" numFmtId="0" xfId="0" applyAlignment="1" applyBorder="1" applyFont="1">
      <alignment readingOrder="0" vertical="center"/>
    </xf>
    <xf borderId="4" fillId="8" fontId="12" numFmtId="0" xfId="0" applyAlignment="1" applyBorder="1" applyFont="1">
      <alignment vertical="center"/>
    </xf>
    <xf borderId="4" fillId="7" fontId="5" numFmtId="0" xfId="0" applyAlignment="1" applyBorder="1" applyFont="1">
      <alignment readingOrder="0" vertical="center"/>
    </xf>
    <xf borderId="4" fillId="7" fontId="5" numFmtId="0" xfId="0" applyAlignment="1" applyBorder="1" applyFont="1">
      <alignment vertical="center"/>
    </xf>
    <xf borderId="4" fillId="9" fontId="13" numFmtId="0" xfId="0" applyBorder="1" applyFont="1"/>
    <xf borderId="4" fillId="7" fontId="3" numFmtId="167" xfId="0" applyAlignment="1" applyBorder="1" applyFont="1" applyNumberFormat="1">
      <alignment readingOrder="0"/>
    </xf>
    <xf borderId="4" fillId="8" fontId="3" numFmtId="167" xfId="0" applyAlignment="1" applyBorder="1" applyFont="1" applyNumberFormat="1">
      <alignment readingOrder="0"/>
    </xf>
    <xf borderId="4" fillId="0" fontId="3" numFmtId="167" xfId="0" applyAlignment="1" applyBorder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3" numFmtId="0" xfId="0" applyFont="1"/>
    <xf borderId="6" fillId="4" fontId="3" numFmtId="0" xfId="0" applyAlignment="1" applyBorder="1" applyFont="1">
      <alignment readingOrder="0"/>
    </xf>
    <xf borderId="3" fillId="7" fontId="3" numFmtId="0" xfId="0" applyBorder="1" applyFont="1"/>
    <xf borderId="3" fillId="7" fontId="14" numFmtId="0" xfId="0" applyAlignment="1" applyBorder="1" applyFont="1">
      <alignment readingOrder="0"/>
    </xf>
    <xf borderId="3" fillId="7" fontId="3" numFmtId="0" xfId="0" applyAlignment="1" applyBorder="1" applyFont="1">
      <alignment shrinkToFit="0" wrapText="1"/>
    </xf>
    <xf borderId="4" fillId="7" fontId="15" numFmtId="0" xfId="0" applyAlignment="1" applyBorder="1" applyFont="1">
      <alignment readingOrder="0"/>
    </xf>
    <xf borderId="4" fillId="7" fontId="3" numFmtId="0" xfId="0" applyAlignment="1" applyBorder="1" applyFont="1">
      <alignment readingOrder="0" shrinkToFit="0" wrapText="1"/>
    </xf>
    <xf borderId="5" fillId="2" fontId="8" numFmtId="165" xfId="0" applyAlignment="1" applyBorder="1" applyFont="1" applyNumberFormat="1">
      <alignment readingOrder="0" vertical="center"/>
    </xf>
    <xf borderId="3" fillId="4" fontId="3" numFmtId="0" xfId="0" applyBorder="1" applyFont="1"/>
    <xf borderId="4" fillId="4" fontId="16" numFmtId="0" xfId="0" applyAlignment="1" applyBorder="1" applyFont="1">
      <alignment readingOrder="0"/>
    </xf>
    <xf borderId="4" fillId="4" fontId="16" numFmtId="0" xfId="0" applyBorder="1" applyFont="1"/>
    <xf borderId="4" fillId="8" fontId="3" numFmtId="165" xfId="0" applyAlignment="1" applyBorder="1" applyFont="1" applyNumberFormat="1">
      <alignment readingOrder="0"/>
    </xf>
    <xf borderId="4" fillId="13" fontId="3" numFmtId="0" xfId="0" applyAlignment="1" applyBorder="1" applyFill="1" applyFont="1">
      <alignment readingOrder="0"/>
    </xf>
    <xf borderId="4" fillId="14" fontId="3" numFmtId="0" xfId="0" applyAlignment="1" applyBorder="1" applyFill="1" applyFont="1">
      <alignment readingOrder="0"/>
    </xf>
    <xf borderId="4" fillId="7" fontId="12" numFmtId="0" xfId="0" applyAlignment="1" applyBorder="1" applyFont="1">
      <alignment readingOrder="0" vertical="center"/>
    </xf>
    <xf borderId="4" fillId="7" fontId="12" numFmtId="0" xfId="0" applyAlignment="1" applyBorder="1" applyFont="1">
      <alignment vertical="center"/>
    </xf>
  </cellXfs>
  <cellStyles count="1">
    <cellStyle xfId="0" name="Normal" builtinId="0"/>
  </cellStyles>
  <dxfs count="6">
    <dxf>
      <font/>
      <fill>
        <patternFill patternType="solid">
          <fgColor rgb="FFD5F5E3"/>
          <bgColor rgb="FFD5F5E3"/>
        </patternFill>
      </fill>
      <border/>
    </dxf>
    <dxf>
      <font/>
      <fill>
        <patternFill patternType="solid">
          <fgColor rgb="FFD6EAF8"/>
          <bgColor rgb="FFD6EAF8"/>
        </patternFill>
      </fill>
      <border/>
    </dxf>
    <dxf>
      <font/>
      <fill>
        <patternFill patternType="solid">
          <fgColor rgb="FFFDF1DB"/>
          <bgColor rgb="FFFDF1DB"/>
        </patternFill>
      </fill>
      <border/>
    </dxf>
    <dxf>
      <font/>
      <fill>
        <patternFill patternType="solid">
          <fgColor rgb="FFFEF9DD"/>
          <bgColor rgb="FFFEF9DD"/>
        </patternFill>
      </fill>
      <border/>
    </dxf>
    <dxf>
      <font/>
      <fill>
        <patternFill patternType="solid">
          <fgColor rgb="FFDCDCDC"/>
          <bgColor rgb="FFDCDCDC"/>
        </patternFill>
      </fill>
      <border/>
    </dxf>
    <dxf>
      <font/>
      <fill>
        <patternFill patternType="solid">
          <fgColor rgb="FFFDCCCB"/>
          <bgColor rgb="FFFDCC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medmind.com.ar/" TargetMode="External"/><Relationship Id="rId2" Type="http://schemas.openxmlformats.org/officeDocument/2006/relationships/hyperlink" Target="http://pyrux.com.ar" TargetMode="External"/><Relationship Id="rId3" Type="http://schemas.openxmlformats.org/officeDocument/2006/relationships/hyperlink" Target="http://goalplanner.com.ar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://esteticamedicabrarda.com" TargetMode="External"/><Relationship Id="rId10" Type="http://schemas.openxmlformats.org/officeDocument/2006/relationships/hyperlink" Target="http://legal.com.ar" TargetMode="External"/><Relationship Id="rId13" Type="http://schemas.openxmlformats.org/officeDocument/2006/relationships/hyperlink" Target="http://losjardinesenrosario.com" TargetMode="External"/><Relationship Id="rId12" Type="http://schemas.openxmlformats.org/officeDocument/2006/relationships/hyperlink" Target="http://holidayinnrosario.com" TargetMode="External"/><Relationship Id="rId1" Type="http://schemas.openxmlformats.org/officeDocument/2006/relationships/hyperlink" Target="http://estudiopriotti.com" TargetMode="External"/><Relationship Id="rId2" Type="http://schemas.openxmlformats.org/officeDocument/2006/relationships/hyperlink" Target="http://estudiocontableherusa.com.ar" TargetMode="External"/><Relationship Id="rId3" Type="http://schemas.openxmlformats.org/officeDocument/2006/relationships/hyperlink" Target="http://estudiocontablegya.com.ar" TargetMode="External"/><Relationship Id="rId4" Type="http://schemas.openxmlformats.org/officeDocument/2006/relationships/hyperlink" Target="http://frasesores.com.ar" TargetMode="External"/><Relationship Id="rId9" Type="http://schemas.openxmlformats.org/officeDocument/2006/relationships/hyperlink" Target="http://legal.com.ar" TargetMode="External"/><Relationship Id="rId15" Type="http://schemas.openxmlformats.org/officeDocument/2006/relationships/hyperlink" Target="http://o2gimnasio.com.ar" TargetMode="External"/><Relationship Id="rId14" Type="http://schemas.openxmlformats.org/officeDocument/2006/relationships/hyperlink" Target="http://cmdentalrosario.com.ar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://facebook.com/zmarketros" TargetMode="External"/><Relationship Id="rId5" Type="http://schemas.openxmlformats.org/officeDocument/2006/relationships/hyperlink" Target="http://legal.com.ar" TargetMode="External"/><Relationship Id="rId6" Type="http://schemas.openxmlformats.org/officeDocument/2006/relationships/hyperlink" Target="http://legal.com.ar" TargetMode="External"/><Relationship Id="rId7" Type="http://schemas.openxmlformats.org/officeDocument/2006/relationships/hyperlink" Target="http://legal.com.ar" TargetMode="External"/><Relationship Id="rId8" Type="http://schemas.openxmlformats.org/officeDocument/2006/relationships/hyperlink" Target="http://legal.com.ar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goalplanner.com.ar" TargetMode="External"/><Relationship Id="rId2" Type="http://schemas.openxmlformats.org/officeDocument/2006/relationships/hyperlink" Target="http://pyrux.com.ar" TargetMode="External"/><Relationship Id="rId3" Type="http://schemas.openxmlformats.org/officeDocument/2006/relationships/hyperlink" Target="http://medmind.com.ar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58.63"/>
    <col customWidth="1" min="3" max="3" width="21.38"/>
    <col customWidth="1" min="4" max="4" width="20.13"/>
    <col customWidth="1" min="5" max="5" width="18.88"/>
    <col customWidth="1" min="6" max="6" width="31.63"/>
  </cols>
  <sheetData>
    <row r="1" ht="31.5" customHeight="1">
      <c r="A1" s="1" t="s">
        <v>0</v>
      </c>
      <c r="B1" s="2"/>
      <c r="C1" s="2"/>
      <c r="D1" s="2"/>
      <c r="E1" s="2"/>
      <c r="F1" s="2"/>
    </row>
    <row r="2">
      <c r="A2" s="3" t="s">
        <v>1</v>
      </c>
      <c r="B2" s="4" t="str">
        <f>TEXT(TODAY(),"DD/MM/YYYY")</f>
        <v>28/03/2026</v>
      </c>
      <c r="C2" s="4"/>
      <c r="D2" s="4"/>
      <c r="E2" s="4"/>
      <c r="F2" s="4"/>
    </row>
    <row r="3">
      <c r="A3" s="5"/>
      <c r="B3" s="5"/>
      <c r="C3" s="5"/>
      <c r="D3" s="6"/>
      <c r="E3" s="6"/>
      <c r="F3" s="6"/>
    </row>
    <row r="4" ht="22.5" customHeight="1">
      <c r="A4" s="7" t="s">
        <v>2</v>
      </c>
      <c r="B4" s="7"/>
      <c r="C4" s="7"/>
      <c r="D4" s="8"/>
      <c r="E4" s="8"/>
      <c r="F4" s="8"/>
    </row>
    <row r="5">
      <c r="A5" s="9"/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</row>
    <row r="6" ht="25.5" customHeight="1">
      <c r="A6" s="10" t="s">
        <v>8</v>
      </c>
      <c r="B6" s="11">
        <f>SUMIF('🤝 CRM (datos)'!O5:O100,"Activo",'🤝 CRM (datos)'!J5:J100)</f>
        <v>20</v>
      </c>
      <c r="C6" s="12">
        <f>ROUND(B6*'⚙️ Config'!$B$6,2)</f>
        <v>0.3</v>
      </c>
      <c r="D6" s="11">
        <f>ROUND(B6-C6,2)</f>
        <v>19.7</v>
      </c>
      <c r="E6" s="13">
        <f>-'⚙️ Config'!$B$17</f>
        <v>-31.3</v>
      </c>
      <c r="F6" s="12">
        <f>ROUND(D6+E6,2)</f>
        <v>-11.6</v>
      </c>
    </row>
    <row r="7">
      <c r="A7" s="14" t="s">
        <v>9</v>
      </c>
      <c r="B7" s="14" t="str">
        <f>IFERROR(__xludf.DUMMYFUNCTION("IF(B11=0,""Sin clientes"",IFERROR(JOIN("", "",FILTER('🤝 CRM (datos)'!B5:B100,'🤝 CRM (datos)'!O5:O100=""Activo"")),""—""))"),"MedMind")</f>
        <v>MedMind</v>
      </c>
      <c r="C7" s="14" t="s">
        <v>10</v>
      </c>
      <c r="D7" s="14" t="s">
        <v>11</v>
      </c>
      <c r="E7" s="14" t="s">
        <v>12</v>
      </c>
      <c r="F7" s="14" t="str">
        <f>IF(F6&gt;=0,"SUPERÁVIT ✓","EN DÉFICIT ⚠️")</f>
        <v>EN DÉFICIT ⚠️</v>
      </c>
    </row>
    <row r="8">
      <c r="A8" s="15"/>
      <c r="B8" s="15"/>
      <c r="C8" s="15"/>
      <c r="D8" s="16"/>
      <c r="E8" s="16"/>
      <c r="F8" s="16"/>
    </row>
    <row r="9" ht="22.5" customHeight="1">
      <c r="A9" s="7" t="s">
        <v>13</v>
      </c>
      <c r="B9" s="8"/>
      <c r="C9" s="8"/>
      <c r="D9" s="8"/>
      <c r="E9" s="8"/>
      <c r="F9" s="8"/>
    </row>
    <row r="10">
      <c r="A10" s="17"/>
      <c r="B10" s="9" t="s">
        <v>14</v>
      </c>
      <c r="C10" s="9" t="s">
        <v>15</v>
      </c>
      <c r="D10" s="9" t="s">
        <v>16</v>
      </c>
      <c r="E10" s="9" t="s">
        <v>17</v>
      </c>
      <c r="F10" s="9" t="s">
        <v>18</v>
      </c>
    </row>
    <row r="11" ht="25.5" customHeight="1">
      <c r="A11" s="10" t="s">
        <v>19</v>
      </c>
      <c r="B11" s="10">
        <f>COUNTIF('🤝 CRM (datos)'!O5:O100,"Activo")</f>
        <v>1</v>
      </c>
      <c r="C11" s="10">
        <f>COUNTA('📋 Prospectos Rosario'!A5:A200)</f>
        <v>30</v>
      </c>
      <c r="D11" s="10">
        <f>COUNTIFS('📋 Prospectos Rosario'!J5:J200,"&lt;&gt;Sin contactar",'📋 Prospectos Rosario'!J5:J200,"&lt;&gt;")</f>
        <v>15</v>
      </c>
      <c r="E11" s="10" t="str">
        <f>COUNTIF('📊 CRM — Pipeline'!I5:I100,"3 — Propuesta enviada")+COUNTIF('📊 CRM — Pipeline'!I5:I100,"4 — Negociación")+COUNTIF('📊 CRM — Pipeline'!I5:I100,"5 — GANADO ✓")</f>
        <v>#REF!</v>
      </c>
      <c r="F11" s="10" t="str">
        <f>COUNTIF('📊 CRM — Pipeline'!I5:I100,"5 — GANADO ✓")</f>
        <v>#REF!</v>
      </c>
    </row>
    <row r="12">
      <c r="A12" s="14" t="s">
        <v>9</v>
      </c>
      <c r="B12" s="14" t="str">
        <f>IFERROR(__xludf.DUMMYFUNCTION("IF(B11=0,""—"",IFERROR(JOIN("", "",FILTER('🤝 CRM (datos)'!B5:B100,'🤝 CRM (datos)'!O5:O100=""Activo"")),""—""))"),"MedMind")</f>
        <v>MedMind</v>
      </c>
      <c r="C12" s="14" t="s">
        <v>20</v>
      </c>
      <c r="D12" s="14" t="str">
        <f>IF(D11=0,"Sin iniciar",D11&amp;" contactado(s)")</f>
        <v>15 contactado(s)</v>
      </c>
      <c r="E12" s="14" t="str">
        <f>IF(E11=0,"—",E11&amp;" enviada(s)")</f>
        <v>#REF!</v>
      </c>
      <c r="F12" s="14" t="str">
        <f>IF(F11=0,"—",F11&amp;" cliente(s)")</f>
        <v>#REF!</v>
      </c>
    </row>
    <row r="13">
      <c r="A13" s="16"/>
      <c r="B13" s="16"/>
      <c r="C13" s="16"/>
      <c r="D13" s="16"/>
      <c r="E13" s="16"/>
      <c r="F13" s="16"/>
    </row>
    <row r="14" ht="22.5" customHeight="1">
      <c r="A14" s="7" t="s">
        <v>21</v>
      </c>
      <c r="B14" s="8"/>
      <c r="C14" s="8"/>
      <c r="D14" s="8"/>
      <c r="E14" s="8"/>
      <c r="F14" s="8"/>
    </row>
    <row r="15">
      <c r="A15" s="17"/>
      <c r="B15" s="9" t="s">
        <v>22</v>
      </c>
      <c r="C15" s="9" t="s">
        <v>23</v>
      </c>
      <c r="D15" s="9" t="s">
        <v>24</v>
      </c>
      <c r="E15" s="9" t="s">
        <v>25</v>
      </c>
      <c r="F15" s="9" t="s">
        <v>26</v>
      </c>
    </row>
    <row r="16">
      <c r="A16" s="18" t="s">
        <v>27</v>
      </c>
      <c r="B16" s="18">
        <f>'⚙️ Config'!$B$9</f>
        <v>5</v>
      </c>
      <c r="C16" s="18">
        <f>'⚙️ Config'!$B$10</f>
        <v>0</v>
      </c>
      <c r="D16" s="18">
        <f>B16-C16</f>
        <v>5</v>
      </c>
      <c r="E16" s="18" t="s">
        <v>28</v>
      </c>
      <c r="F16" s="18" t="s">
        <v>29</v>
      </c>
    </row>
    <row r="17">
      <c r="A17" s="19"/>
      <c r="B17" s="19"/>
      <c r="C17" s="19"/>
      <c r="D17" s="19"/>
      <c r="E17" s="19"/>
      <c r="F17" s="19"/>
    </row>
    <row r="18" ht="22.5" customHeight="1">
      <c r="A18" s="7" t="s">
        <v>30</v>
      </c>
      <c r="B18" s="8"/>
      <c r="C18" s="8"/>
      <c r="D18" s="8"/>
      <c r="E18" s="8"/>
      <c r="F18" s="8"/>
    </row>
    <row r="19">
      <c r="A19" s="9" t="s">
        <v>31</v>
      </c>
      <c r="B19" s="9" t="s">
        <v>32</v>
      </c>
      <c r="C19" s="17"/>
      <c r="D19" s="17"/>
      <c r="E19" s="17"/>
      <c r="F19" s="17"/>
    </row>
    <row r="20">
      <c r="A20" s="20" t="s">
        <v>31</v>
      </c>
      <c r="B20" s="20" t="s">
        <v>33</v>
      </c>
      <c r="C20" s="21"/>
      <c r="D20" s="21"/>
      <c r="E20" s="21"/>
      <c r="F20" s="21"/>
    </row>
    <row r="21">
      <c r="A21" s="20" t="s">
        <v>34</v>
      </c>
      <c r="B21" s="20" t="str">
        <f>IF(D11=0,"0 prospectos contactados — iniciar outreach",D11&amp;" prospecto(s) contactado(s) — pipeline activo")</f>
        <v>15 prospecto(s) contactado(s) — pipeline activo</v>
      </c>
      <c r="C21" s="21"/>
      <c r="D21" s="21"/>
      <c r="E21" s="21"/>
      <c r="F21" s="21"/>
    </row>
    <row r="22">
      <c r="A22" s="22" t="s">
        <v>35</v>
      </c>
      <c r="B22" s="22" t="str">
        <f>IF(F6&gt;=0,"Resultado mensual: $"&amp;TEXT(F6,"0.00")&amp;" USD — superávit ✓","Resultado mensual: -$"&amp;TEXT(ABS(F6),"0.00")&amp;" USD — en déficit")</f>
        <v>Resultado mensual: -$11.60 USD — en déficit</v>
      </c>
      <c r="C22" s="23"/>
      <c r="D22" s="23"/>
      <c r="E22" s="23"/>
      <c r="F22" s="23"/>
    </row>
    <row r="23">
      <c r="A23" s="22" t="s">
        <v>36</v>
      </c>
      <c r="B23" s="22" t="s">
        <v>37</v>
      </c>
      <c r="C23" s="23"/>
      <c r="D23" s="23"/>
      <c r="E23" s="23"/>
      <c r="F23" s="23"/>
    </row>
    <row r="24">
      <c r="A24" s="24" t="s">
        <v>36</v>
      </c>
      <c r="B24" s="24" t="s">
        <v>38</v>
      </c>
      <c r="C24" s="25"/>
      <c r="D24" s="25"/>
      <c r="E24" s="25"/>
      <c r="F24" s="25"/>
    </row>
    <row r="25">
      <c r="A25" s="24" t="s">
        <v>36</v>
      </c>
      <c r="B25" s="24" t="s">
        <v>39</v>
      </c>
      <c r="C25" s="25"/>
      <c r="D25" s="25"/>
      <c r="E25" s="25"/>
      <c r="F25" s="25"/>
    </row>
    <row r="26">
      <c r="A26" s="25"/>
      <c r="B26" s="25"/>
      <c r="C26" s="25"/>
      <c r="D26" s="25"/>
      <c r="E26" s="25"/>
      <c r="F26" s="25"/>
    </row>
    <row r="27" ht="22.5" customHeight="1">
      <c r="A27" s="7" t="s">
        <v>40</v>
      </c>
      <c r="B27" s="8"/>
      <c r="C27" s="8"/>
      <c r="D27" s="8"/>
      <c r="E27" s="8"/>
      <c r="F27" s="8"/>
    </row>
    <row r="28">
      <c r="A28" s="9" t="s">
        <v>41</v>
      </c>
      <c r="B28" s="9" t="s">
        <v>42</v>
      </c>
      <c r="C28" s="9" t="s">
        <v>43</v>
      </c>
      <c r="D28" s="9" t="s">
        <v>44</v>
      </c>
      <c r="E28" s="9" t="s">
        <v>27</v>
      </c>
      <c r="F28" s="17"/>
    </row>
    <row r="29">
      <c r="A29" s="18">
        <v>1.0</v>
      </c>
      <c r="B29" s="18" t="s">
        <v>45</v>
      </c>
      <c r="C29" s="18" t="s">
        <v>46</v>
      </c>
      <c r="D29" s="18" t="s">
        <v>47</v>
      </c>
      <c r="E29" s="18" t="s">
        <v>48</v>
      </c>
      <c r="F29" s="26"/>
    </row>
    <row r="30">
      <c r="A30" s="27">
        <v>2.0</v>
      </c>
      <c r="B30" s="27" t="s">
        <v>49</v>
      </c>
      <c r="C30" s="27" t="s">
        <v>46</v>
      </c>
      <c r="D30" s="27" t="s">
        <v>47</v>
      </c>
      <c r="E30" s="27" t="s">
        <v>48</v>
      </c>
      <c r="F30" s="19"/>
    </row>
    <row r="31">
      <c r="A31" s="18">
        <v>3.0</v>
      </c>
      <c r="B31" s="18" t="s">
        <v>50</v>
      </c>
      <c r="C31" s="18" t="s">
        <v>46</v>
      </c>
      <c r="D31" s="18" t="s">
        <v>47</v>
      </c>
      <c r="E31" s="18" t="s">
        <v>48</v>
      </c>
      <c r="F31" s="26"/>
    </row>
    <row r="32">
      <c r="A32" s="27">
        <v>4.0</v>
      </c>
      <c r="B32" s="27" t="s">
        <v>51</v>
      </c>
      <c r="C32" s="27" t="s">
        <v>52</v>
      </c>
      <c r="D32" s="27" t="s">
        <v>47</v>
      </c>
      <c r="E32" s="27" t="s">
        <v>48</v>
      </c>
      <c r="F32" s="19"/>
    </row>
    <row r="33">
      <c r="A33" s="18">
        <v>5.0</v>
      </c>
      <c r="B33" s="18" t="s">
        <v>53</v>
      </c>
      <c r="C33" s="18" t="s">
        <v>52</v>
      </c>
      <c r="D33" s="18" t="s">
        <v>47</v>
      </c>
      <c r="E33" s="18" t="s">
        <v>48</v>
      </c>
      <c r="F33" s="26"/>
    </row>
    <row r="34">
      <c r="A34" s="27">
        <v>6.0</v>
      </c>
      <c r="B34" s="27" t="s">
        <v>54</v>
      </c>
      <c r="C34" s="27" t="s">
        <v>52</v>
      </c>
      <c r="D34" s="27" t="s">
        <v>47</v>
      </c>
      <c r="E34" s="27" t="s">
        <v>48</v>
      </c>
      <c r="F34" s="19"/>
    </row>
    <row r="35">
      <c r="A35" s="18">
        <v>7.0</v>
      </c>
      <c r="B35" s="18" t="s">
        <v>55</v>
      </c>
      <c r="C35" s="18" t="s">
        <v>56</v>
      </c>
      <c r="D35" s="18" t="s">
        <v>47</v>
      </c>
      <c r="E35" s="18" t="s">
        <v>48</v>
      </c>
      <c r="F35" s="26"/>
    </row>
    <row r="36">
      <c r="A36" s="19"/>
      <c r="B36" s="19"/>
      <c r="C36" s="19"/>
      <c r="D36" s="19"/>
      <c r="E36" s="19"/>
      <c r="F36" s="19"/>
    </row>
  </sheetData>
  <dataValidations>
    <dataValidation type="list" allowBlank="1" sqref="E29:E36">
      <formula1>"⬜ Pendiente,🔄 En progreso,✅ Completado,⏸️ Pausado"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38"/>
    <col customWidth="1" min="2" max="4" width="20.13"/>
    <col customWidth="1" min="5" max="5" width="25.13"/>
    <col customWidth="1" min="6" max="6" width="22.63"/>
    <col customWidth="1" min="7" max="7" width="20.13"/>
    <col customWidth="1" min="8" max="8" width="21.38"/>
    <col customWidth="1" min="9" max="9" width="18.88"/>
    <col customWidth="1" min="10" max="10" width="15.13"/>
    <col customWidth="1" min="11" max="11" width="18.88"/>
    <col customWidth="1" min="12" max="12" width="17.63"/>
    <col customWidth="1" min="13" max="13" width="22.63"/>
    <col customWidth="1" min="14" max="14" width="17.63"/>
    <col customWidth="1" min="15" max="15" width="15.13"/>
    <col customWidth="1" min="16" max="16" width="37.63"/>
  </cols>
  <sheetData>
    <row r="1" ht="27.0" customHeight="1">
      <c r="A1" s="28" t="s">
        <v>57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 t="s">
        <v>58</v>
      </c>
      <c r="O1" s="29" t="s">
        <v>9</v>
      </c>
      <c r="P1" s="30"/>
    </row>
    <row r="2">
      <c r="A2" s="3" t="s">
        <v>59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ht="22.5" customHeight="1">
      <c r="A4" s="32" t="s">
        <v>41</v>
      </c>
      <c r="B4" s="33" t="s">
        <v>60</v>
      </c>
      <c r="C4" s="33" t="s">
        <v>61</v>
      </c>
      <c r="D4" s="33" t="s">
        <v>62</v>
      </c>
      <c r="E4" s="33" t="s">
        <v>63</v>
      </c>
      <c r="F4" s="33" t="s">
        <v>64</v>
      </c>
      <c r="G4" s="33" t="s">
        <v>65</v>
      </c>
      <c r="H4" s="33" t="s">
        <v>66</v>
      </c>
      <c r="I4" s="33" t="s">
        <v>67</v>
      </c>
      <c r="J4" s="33" t="s">
        <v>68</v>
      </c>
      <c r="K4" s="33" t="s">
        <v>69</v>
      </c>
      <c r="L4" s="33" t="s">
        <v>70</v>
      </c>
      <c r="M4" s="33" t="s">
        <v>71</v>
      </c>
      <c r="N4" s="33" t="s">
        <v>72</v>
      </c>
      <c r="O4" s="33" t="s">
        <v>27</v>
      </c>
      <c r="P4" s="34" t="s">
        <v>73</v>
      </c>
    </row>
    <row r="5">
      <c r="A5" s="35">
        <v>1.0</v>
      </c>
      <c r="B5" s="35" t="s">
        <v>74</v>
      </c>
      <c r="C5" s="35" t="s">
        <v>75</v>
      </c>
      <c r="D5" s="35" t="s">
        <v>76</v>
      </c>
      <c r="E5" s="35" t="s">
        <v>77</v>
      </c>
      <c r="F5" s="35" t="s">
        <v>78</v>
      </c>
      <c r="G5" s="35" t="s">
        <v>79</v>
      </c>
      <c r="H5" s="35" t="s">
        <v>80</v>
      </c>
      <c r="I5" s="36">
        <v>300.0</v>
      </c>
      <c r="J5" s="36">
        <v>20.0</v>
      </c>
      <c r="K5" s="37">
        <v>46086.0</v>
      </c>
      <c r="L5" s="37">
        <v>46113.0</v>
      </c>
      <c r="M5" s="35" t="s">
        <v>81</v>
      </c>
      <c r="N5" s="35" t="s">
        <v>82</v>
      </c>
      <c r="O5" s="35" t="s">
        <v>83</v>
      </c>
      <c r="P5" s="38" t="s">
        <v>84</v>
      </c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39"/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40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39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40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39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40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39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40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39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40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39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40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39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40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39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40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39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40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39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40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39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40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39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40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39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40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39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40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39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40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39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40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39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40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39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40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39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40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39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40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39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40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39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40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39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40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39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40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39"/>
    </row>
  </sheetData>
  <dataValidations>
    <dataValidation type="list" allowBlank="1" sqref="F5:F54">
      <formula1>"Growth,Pro,Business,E-Commerce Básico,E-Commerce Pro,E-Commerce Enterprise,Personalizado,Mantenimiento activo"</formula1>
    </dataValidation>
    <dataValidation type="list" allowBlank="1" sqref="N5:N54">
      <formula1>"SÍ ✅,NO ⚠️,En proceso"</formula1>
    </dataValidation>
    <dataValidation type="list" allowBlank="1" sqref="O5:O54">
      <formula1>"Activo,Pausado,Cancelado,Potencial"</formula1>
    </dataValidation>
    <dataValidation type="list" allowBlank="1" sqref="H5:H54">
      <formula1>"Sin descuento,30% lanzamiento,A negociar"</formula1>
    </dataValidation>
    <dataValidation type="list" allowBlank="1" sqref="M5:M54">
      <formula1>"Débito automático MP,Transferencia bancaria,Efectivo (USD),Efectivo (ARS)"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38"/>
    <col customWidth="1" min="2" max="2" width="21.38"/>
    <col customWidth="1" min="3" max="3" width="17.63"/>
    <col customWidth="1" min="4" max="4" width="25.13"/>
    <col customWidth="1" min="5" max="5" width="17.63"/>
    <col customWidth="1" min="6" max="6" width="20.13"/>
    <col customWidth="1" min="7" max="7" width="17.63"/>
    <col customWidth="1" min="8" max="8" width="25.13"/>
    <col customWidth="1" min="9" max="9" width="40.13"/>
  </cols>
  <sheetData>
    <row r="1" ht="27.0" customHeight="1">
      <c r="A1" s="28" t="s">
        <v>85</v>
      </c>
      <c r="B1" s="29"/>
      <c r="C1" s="29"/>
      <c r="D1" s="29"/>
      <c r="E1" s="29"/>
      <c r="F1" s="29"/>
      <c r="G1" s="41"/>
      <c r="H1" s="41"/>
      <c r="I1" s="30"/>
    </row>
    <row r="2">
      <c r="A2" s="3" t="s">
        <v>59</v>
      </c>
      <c r="B2" s="4"/>
      <c r="C2" s="4"/>
      <c r="D2" s="4"/>
      <c r="E2" s="4"/>
      <c r="F2" s="4"/>
      <c r="G2" s="4"/>
      <c r="H2" s="4"/>
      <c r="I2" s="4"/>
    </row>
    <row r="3">
      <c r="A3" s="31"/>
      <c r="B3" s="31"/>
      <c r="C3" s="31"/>
      <c r="D3" s="31"/>
      <c r="E3" s="31"/>
      <c r="F3" s="31"/>
      <c r="G3" s="31"/>
      <c r="H3" s="31"/>
      <c r="I3" s="31"/>
    </row>
    <row r="4" ht="22.5" customHeight="1">
      <c r="A4" s="32" t="s">
        <v>41</v>
      </c>
      <c r="B4" s="33" t="s">
        <v>86</v>
      </c>
      <c r="C4" s="33" t="s">
        <v>87</v>
      </c>
      <c r="D4" s="33" t="s">
        <v>88</v>
      </c>
      <c r="E4" s="33" t="s">
        <v>64</v>
      </c>
      <c r="F4" s="33" t="s">
        <v>27</v>
      </c>
      <c r="G4" s="33" t="s">
        <v>89</v>
      </c>
      <c r="H4" s="33" t="s">
        <v>58</v>
      </c>
      <c r="I4" s="34" t="s">
        <v>9</v>
      </c>
    </row>
    <row r="5">
      <c r="A5" s="42">
        <v>1.0</v>
      </c>
      <c r="B5" s="42" t="s">
        <v>74</v>
      </c>
      <c r="C5" s="42" t="s">
        <v>74</v>
      </c>
      <c r="D5" s="42" t="s">
        <v>90</v>
      </c>
      <c r="E5" s="42" t="s">
        <v>91</v>
      </c>
      <c r="F5" s="42" t="s">
        <v>92</v>
      </c>
      <c r="G5" s="42" t="s">
        <v>93</v>
      </c>
      <c r="H5" s="43" t="s">
        <v>94</v>
      </c>
      <c r="I5" s="44" t="s">
        <v>95</v>
      </c>
    </row>
    <row r="6">
      <c r="A6" s="27">
        <v>2.0</v>
      </c>
      <c r="B6" s="27" t="s">
        <v>96</v>
      </c>
      <c r="C6" s="27" t="s">
        <v>97</v>
      </c>
      <c r="D6" s="27" t="s">
        <v>98</v>
      </c>
      <c r="E6" s="27" t="s">
        <v>99</v>
      </c>
      <c r="F6" s="27" t="s">
        <v>92</v>
      </c>
      <c r="G6" s="27" t="s">
        <v>100</v>
      </c>
      <c r="H6" s="45" t="s">
        <v>101</v>
      </c>
      <c r="I6" s="46" t="s">
        <v>102</v>
      </c>
    </row>
    <row r="7">
      <c r="A7" s="22">
        <v>3.0</v>
      </c>
      <c r="B7" s="22" t="s">
        <v>103</v>
      </c>
      <c r="C7" s="22" t="s">
        <v>97</v>
      </c>
      <c r="D7" s="22" t="s">
        <v>104</v>
      </c>
      <c r="E7" s="22" t="s">
        <v>99</v>
      </c>
      <c r="F7" s="22" t="s">
        <v>105</v>
      </c>
      <c r="G7" s="22" t="s">
        <v>106</v>
      </c>
      <c r="H7" s="47" t="s">
        <v>107</v>
      </c>
      <c r="I7" s="48" t="s">
        <v>108</v>
      </c>
    </row>
    <row r="8">
      <c r="A8" s="16"/>
      <c r="B8" s="16"/>
      <c r="C8" s="16"/>
      <c r="D8" s="16"/>
      <c r="E8" s="16"/>
      <c r="F8" s="16"/>
      <c r="G8" s="16"/>
      <c r="H8" s="16"/>
      <c r="I8" s="49"/>
    </row>
    <row r="9">
      <c r="A9" s="16"/>
      <c r="B9" s="16"/>
      <c r="C9" s="16"/>
      <c r="D9" s="16"/>
      <c r="E9" s="16"/>
      <c r="F9" s="16"/>
      <c r="G9" s="16"/>
      <c r="H9" s="16"/>
      <c r="I9" s="49"/>
    </row>
    <row r="10">
      <c r="A10" s="16"/>
      <c r="B10" s="16"/>
      <c r="C10" s="16"/>
      <c r="D10" s="16"/>
      <c r="E10" s="16"/>
      <c r="F10" s="16"/>
      <c r="G10" s="16"/>
      <c r="H10" s="16"/>
      <c r="I10" s="49"/>
    </row>
    <row r="11">
      <c r="A11" s="16"/>
      <c r="B11" s="16"/>
      <c r="C11" s="16"/>
      <c r="D11" s="16"/>
      <c r="E11" s="16"/>
      <c r="F11" s="16"/>
      <c r="G11" s="16"/>
      <c r="H11" s="16"/>
      <c r="I11" s="49"/>
    </row>
    <row r="12">
      <c r="A12" s="16"/>
      <c r="B12" s="16"/>
      <c r="C12" s="16"/>
      <c r="D12" s="16"/>
      <c r="E12" s="16"/>
      <c r="F12" s="16"/>
      <c r="G12" s="16"/>
      <c r="H12" s="16"/>
      <c r="I12" s="49"/>
    </row>
    <row r="13">
      <c r="A13" s="16"/>
      <c r="B13" s="16"/>
      <c r="C13" s="16"/>
      <c r="D13" s="16"/>
      <c r="E13" s="16"/>
      <c r="F13" s="16"/>
      <c r="G13" s="16"/>
      <c r="H13" s="16"/>
      <c r="I13" s="49"/>
    </row>
    <row r="14">
      <c r="A14" s="16"/>
      <c r="B14" s="16"/>
      <c r="C14" s="16"/>
      <c r="D14" s="16"/>
      <c r="E14" s="16"/>
      <c r="F14" s="16"/>
      <c r="G14" s="16"/>
      <c r="H14" s="16"/>
      <c r="I14" s="49"/>
    </row>
    <row r="15">
      <c r="A15" s="16"/>
      <c r="B15" s="16"/>
      <c r="C15" s="16"/>
      <c r="D15" s="16"/>
      <c r="E15" s="16"/>
      <c r="F15" s="16"/>
      <c r="G15" s="16"/>
      <c r="H15" s="16"/>
      <c r="I15" s="49"/>
    </row>
    <row r="16">
      <c r="A16" s="16"/>
      <c r="B16" s="16"/>
      <c r="C16" s="16"/>
      <c r="D16" s="16"/>
      <c r="E16" s="16"/>
      <c r="F16" s="16"/>
      <c r="G16" s="16"/>
      <c r="H16" s="16"/>
      <c r="I16" s="49"/>
    </row>
    <row r="17">
      <c r="A17" s="16"/>
      <c r="B17" s="16"/>
      <c r="C17" s="16"/>
      <c r="D17" s="16"/>
      <c r="E17" s="16"/>
      <c r="F17" s="16"/>
      <c r="G17" s="16"/>
      <c r="H17" s="16"/>
      <c r="I17" s="49"/>
    </row>
    <row r="18">
      <c r="A18" s="16"/>
      <c r="B18" s="16"/>
      <c r="C18" s="16"/>
      <c r="D18" s="16"/>
      <c r="E18" s="16"/>
      <c r="F18" s="16"/>
      <c r="G18" s="16"/>
      <c r="H18" s="16"/>
      <c r="I18" s="49"/>
    </row>
    <row r="19">
      <c r="A19" s="16"/>
      <c r="B19" s="16"/>
      <c r="C19" s="16"/>
      <c r="D19" s="16"/>
      <c r="E19" s="16"/>
      <c r="F19" s="16"/>
      <c r="G19" s="16"/>
      <c r="H19" s="16"/>
      <c r="I19" s="49"/>
    </row>
    <row r="20">
      <c r="A20" s="16"/>
      <c r="B20" s="16"/>
      <c r="C20" s="16"/>
      <c r="D20" s="16"/>
      <c r="E20" s="16"/>
      <c r="F20" s="16"/>
      <c r="G20" s="16"/>
      <c r="H20" s="16"/>
      <c r="I20" s="49"/>
    </row>
    <row r="21">
      <c r="A21" s="16"/>
      <c r="B21" s="16"/>
      <c r="C21" s="16"/>
      <c r="D21" s="16"/>
      <c r="E21" s="16"/>
      <c r="F21" s="16"/>
      <c r="G21" s="16"/>
      <c r="H21" s="16"/>
      <c r="I21" s="49"/>
    </row>
    <row r="22">
      <c r="A22" s="16"/>
      <c r="B22" s="16"/>
      <c r="C22" s="16"/>
      <c r="D22" s="16"/>
      <c r="E22" s="16"/>
      <c r="F22" s="16"/>
      <c r="G22" s="16"/>
      <c r="H22" s="16"/>
      <c r="I22" s="49"/>
    </row>
    <row r="23">
      <c r="A23" s="16"/>
      <c r="B23" s="16"/>
      <c r="C23" s="16"/>
      <c r="D23" s="16"/>
      <c r="E23" s="16"/>
      <c r="F23" s="16"/>
      <c r="G23" s="16"/>
      <c r="H23" s="16"/>
      <c r="I23" s="49"/>
    </row>
    <row r="24">
      <c r="A24" s="16"/>
      <c r="B24" s="16"/>
      <c r="C24" s="16"/>
      <c r="D24" s="16"/>
      <c r="E24" s="16"/>
      <c r="F24" s="16"/>
      <c r="G24" s="16"/>
      <c r="H24" s="16"/>
      <c r="I24" s="49"/>
    </row>
    <row r="25">
      <c r="A25" s="16"/>
      <c r="B25" s="16"/>
      <c r="C25" s="16"/>
      <c r="D25" s="16"/>
      <c r="E25" s="16"/>
      <c r="F25" s="16"/>
      <c r="G25" s="16"/>
      <c r="H25" s="16"/>
      <c r="I25" s="49"/>
    </row>
    <row r="26">
      <c r="A26" s="16"/>
      <c r="B26" s="16"/>
      <c r="C26" s="16"/>
      <c r="D26" s="16"/>
      <c r="E26" s="16"/>
      <c r="F26" s="16"/>
      <c r="G26" s="16"/>
      <c r="H26" s="16"/>
      <c r="I26" s="49"/>
    </row>
    <row r="27">
      <c r="A27" s="16"/>
      <c r="B27" s="16"/>
      <c r="C27" s="16"/>
      <c r="D27" s="16"/>
      <c r="E27" s="16"/>
      <c r="F27" s="16"/>
      <c r="G27" s="16"/>
      <c r="H27" s="16"/>
      <c r="I27" s="49"/>
    </row>
    <row r="28">
      <c r="A28" s="16"/>
      <c r="B28" s="16"/>
      <c r="C28" s="16"/>
      <c r="D28" s="16"/>
      <c r="E28" s="16"/>
      <c r="F28" s="16"/>
      <c r="G28" s="16"/>
      <c r="H28" s="16"/>
      <c r="I28" s="49"/>
    </row>
    <row r="29">
      <c r="A29" s="16"/>
      <c r="B29" s="16"/>
      <c r="C29" s="16"/>
      <c r="D29" s="16"/>
      <c r="E29" s="16"/>
      <c r="F29" s="16"/>
      <c r="G29" s="16"/>
      <c r="H29" s="16"/>
      <c r="I29" s="49"/>
    </row>
    <row r="30">
      <c r="A30" s="16"/>
      <c r="B30" s="16"/>
      <c r="C30" s="16"/>
      <c r="D30" s="16"/>
      <c r="E30" s="16"/>
      <c r="F30" s="16"/>
      <c r="G30" s="16"/>
      <c r="H30" s="16"/>
      <c r="I30" s="49"/>
    </row>
  </sheetData>
  <conditionalFormatting sqref="A5:I50">
    <cfRule type="expression" dxfId="0" priority="1" stopIfTrue="1">
      <formula>$F5="En producción ✓"</formula>
    </cfRule>
  </conditionalFormatting>
  <conditionalFormatting sqref="A5:I50">
    <cfRule type="expression" dxfId="1" priority="2" stopIfTrue="1">
      <formula>$F5="Lanzado ✓"</formula>
    </cfRule>
  </conditionalFormatting>
  <conditionalFormatting sqref="A5:I50">
    <cfRule type="expression" dxfId="2" priority="3" stopIfTrue="1">
      <formula>$F5="En desarrollo"</formula>
    </cfRule>
  </conditionalFormatting>
  <conditionalFormatting sqref="A5:I50">
    <cfRule type="expression" dxfId="3" priority="4" stopIfTrue="1">
      <formula>$F5="Planificado"</formula>
    </cfRule>
  </conditionalFormatting>
  <conditionalFormatting sqref="A5:I50">
    <cfRule type="expression" dxfId="4" priority="5" stopIfTrue="1">
      <formula>$F5="Pausado"</formula>
    </cfRule>
  </conditionalFormatting>
  <conditionalFormatting sqref="A5:I50">
    <cfRule type="expression" dxfId="5" priority="6" stopIfTrue="1">
      <formula>$F5="Cancelado"</formula>
    </cfRule>
  </conditionalFormatting>
  <dataValidations>
    <dataValidation type="list" allowBlank="1" sqref="F5:F30">
      <formula1>"En producción ✓,Lanzado ✓,En desarrollo,Planificado,Pausado,Cancelado"</formula1>
    </dataValidation>
  </dataValidations>
  <hyperlinks>
    <hyperlink r:id="rId1" ref="H5"/>
    <hyperlink r:id="rId2" ref="H6"/>
    <hyperlink r:id="rId3" ref="H7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38"/>
    <col customWidth="1" min="2" max="2" width="15.13"/>
    <col customWidth="1" min="3" max="5" width="13.88"/>
    <col customWidth="1" min="6" max="6" width="17.63"/>
    <col customWidth="1" min="7" max="7" width="20.13"/>
    <col customWidth="1" min="8" max="8" width="12.63"/>
    <col customWidth="1" min="9" max="9" width="28.88"/>
  </cols>
  <sheetData>
    <row r="1" ht="27.0" customHeight="1">
      <c r="A1" s="28" t="s">
        <v>109</v>
      </c>
      <c r="B1" s="29"/>
      <c r="C1" s="29"/>
      <c r="D1" s="29"/>
      <c r="E1" s="29"/>
      <c r="F1" s="29"/>
      <c r="G1" s="29"/>
      <c r="H1" s="29"/>
      <c r="I1" s="50"/>
    </row>
    <row r="2">
      <c r="A2" s="3" t="s">
        <v>59</v>
      </c>
      <c r="B2" s="4"/>
      <c r="C2" s="4"/>
      <c r="D2" s="4"/>
      <c r="E2" s="4"/>
      <c r="F2" s="4"/>
      <c r="G2" s="4"/>
      <c r="H2" s="4"/>
      <c r="I2" s="4"/>
    </row>
    <row r="3">
      <c r="A3" s="16"/>
      <c r="B3" s="16"/>
      <c r="C3" s="16"/>
      <c r="D3" s="16"/>
      <c r="E3" s="16"/>
      <c r="F3" s="16"/>
      <c r="G3" s="16"/>
      <c r="H3" s="16"/>
      <c r="I3" s="16"/>
    </row>
    <row r="4">
      <c r="A4" s="51" t="s">
        <v>110</v>
      </c>
      <c r="B4" s="52"/>
      <c r="C4" s="52"/>
      <c r="D4" s="52"/>
      <c r="E4" s="52"/>
      <c r="F4" s="52"/>
      <c r="G4" s="52"/>
      <c r="H4" s="52"/>
      <c r="I4" s="52"/>
    </row>
    <row r="5">
      <c r="A5" s="9" t="s">
        <v>87</v>
      </c>
      <c r="B5" s="9" t="s">
        <v>111</v>
      </c>
      <c r="C5" s="9" t="s">
        <v>112</v>
      </c>
      <c r="D5" s="9" t="s">
        <v>113</v>
      </c>
      <c r="E5" s="9" t="s">
        <v>114</v>
      </c>
      <c r="F5" s="9" t="s">
        <v>115</v>
      </c>
      <c r="G5" s="9" t="s">
        <v>71</v>
      </c>
      <c r="H5" s="9" t="s">
        <v>27</v>
      </c>
      <c r="I5" s="9" t="s">
        <v>9</v>
      </c>
    </row>
    <row r="6">
      <c r="A6" s="18" t="s">
        <v>74</v>
      </c>
      <c r="B6" s="18" t="s">
        <v>116</v>
      </c>
      <c r="C6" s="18">
        <v>20.0</v>
      </c>
      <c r="D6" s="26">
        <f>C6*0.0152</f>
        <v>0.304</v>
      </c>
      <c r="E6" s="26">
        <f>C6-D6</f>
        <v>19.696</v>
      </c>
      <c r="F6" s="53">
        <v>46086.0</v>
      </c>
      <c r="G6" s="18" t="s">
        <v>117</v>
      </c>
      <c r="H6" s="18" t="s">
        <v>83</v>
      </c>
      <c r="I6" s="18" t="s">
        <v>118</v>
      </c>
    </row>
    <row r="7">
      <c r="A7" s="19"/>
      <c r="B7" s="19"/>
      <c r="C7" s="19"/>
      <c r="D7" s="19"/>
      <c r="E7" s="19"/>
      <c r="F7" s="19"/>
      <c r="G7" s="19"/>
      <c r="H7" s="19"/>
      <c r="I7" s="19"/>
    </row>
    <row r="8">
      <c r="A8" s="54" t="s">
        <v>119</v>
      </c>
      <c r="B8" s="55"/>
      <c r="C8" s="55">
        <f t="shared" ref="C8:E8" si="1">SUM(C6:C7)</f>
        <v>20</v>
      </c>
      <c r="D8" s="55">
        <f t="shared" si="1"/>
        <v>0.304</v>
      </c>
      <c r="E8" s="55">
        <f t="shared" si="1"/>
        <v>19.696</v>
      </c>
      <c r="F8" s="55"/>
      <c r="G8" s="55"/>
      <c r="H8" s="55"/>
      <c r="I8" s="55"/>
    </row>
    <row r="9">
      <c r="A9" s="16"/>
      <c r="B9" s="16"/>
      <c r="C9" s="16"/>
      <c r="D9" s="16"/>
      <c r="E9" s="16"/>
      <c r="F9" s="16"/>
      <c r="G9" s="16"/>
      <c r="H9" s="16"/>
      <c r="I9" s="16"/>
    </row>
    <row r="10">
      <c r="A10" s="51" t="s">
        <v>120</v>
      </c>
      <c r="B10" s="52"/>
      <c r="C10" s="52"/>
      <c r="D10" s="52"/>
      <c r="E10" s="52"/>
      <c r="F10" s="52"/>
      <c r="G10" s="52"/>
      <c r="H10" s="52"/>
      <c r="I10" s="52"/>
    </row>
    <row r="11">
      <c r="A11" s="9" t="s">
        <v>121</v>
      </c>
      <c r="B11" s="9" t="s">
        <v>87</v>
      </c>
      <c r="C11" s="9" t="s">
        <v>122</v>
      </c>
      <c r="D11" s="9" t="s">
        <v>123</v>
      </c>
      <c r="E11" s="9" t="s">
        <v>25</v>
      </c>
      <c r="F11" s="9" t="s">
        <v>124</v>
      </c>
      <c r="G11" s="9" t="s">
        <v>125</v>
      </c>
      <c r="H11" s="9" t="s">
        <v>126</v>
      </c>
      <c r="I11" s="9" t="s">
        <v>27</v>
      </c>
      <c r="J11" s="56" t="s">
        <v>9</v>
      </c>
    </row>
    <row r="12">
      <c r="A12" s="18">
        <v>2025.0</v>
      </c>
      <c r="B12" s="18" t="s">
        <v>74</v>
      </c>
      <c r="C12" s="18" t="s">
        <v>127</v>
      </c>
      <c r="D12" s="57">
        <v>300.0</v>
      </c>
      <c r="E12" s="18" t="s">
        <v>80</v>
      </c>
      <c r="F12" s="18">
        <v>300.0</v>
      </c>
      <c r="G12" s="58">
        <v>1.0</v>
      </c>
      <c r="H12" s="18">
        <v>0.0</v>
      </c>
      <c r="I12" s="18" t="s">
        <v>128</v>
      </c>
      <c r="J12" s="56" t="s">
        <v>129</v>
      </c>
    </row>
    <row r="13">
      <c r="A13" s="19"/>
      <c r="B13" s="19"/>
      <c r="C13" s="19"/>
      <c r="D13" s="19"/>
      <c r="E13" s="19"/>
      <c r="F13" s="19"/>
      <c r="G13" s="19"/>
      <c r="H13" s="19"/>
      <c r="I13" s="19"/>
    </row>
    <row r="14">
      <c r="A14" s="59" t="s">
        <v>130</v>
      </c>
      <c r="B14" s="60"/>
      <c r="C14" s="60"/>
      <c r="D14" s="60"/>
      <c r="E14" s="60"/>
      <c r="F14" s="59">
        <f>IFERROR(SUM(F12:F13),0)</f>
        <v>300</v>
      </c>
      <c r="G14" s="60"/>
      <c r="H14" s="60"/>
      <c r="I14" s="60"/>
    </row>
    <row r="15">
      <c r="A15" s="52"/>
      <c r="B15" s="52"/>
      <c r="C15" s="52"/>
      <c r="D15" s="52"/>
      <c r="E15" s="52"/>
      <c r="F15" s="52"/>
      <c r="G15" s="52"/>
      <c r="H15" s="52"/>
      <c r="I15" s="52"/>
    </row>
    <row r="16">
      <c r="A16" s="9" t="s">
        <v>131</v>
      </c>
      <c r="B16" s="17"/>
      <c r="C16" s="17"/>
      <c r="D16" s="17"/>
      <c r="E16" s="17"/>
      <c r="F16" s="17"/>
      <c r="G16" s="17"/>
      <c r="H16" s="17"/>
      <c r="I16" s="17"/>
    </row>
    <row r="17">
      <c r="A17" s="18" t="s">
        <v>132</v>
      </c>
      <c r="B17" s="18" t="s">
        <v>133</v>
      </c>
      <c r="C17" s="18" t="s">
        <v>134</v>
      </c>
      <c r="D17" s="18" t="s">
        <v>135</v>
      </c>
      <c r="E17" s="18" t="s">
        <v>136</v>
      </c>
      <c r="F17" s="18" t="s">
        <v>9</v>
      </c>
      <c r="G17" s="26"/>
      <c r="H17" s="26"/>
      <c r="I17" s="26"/>
    </row>
    <row r="18">
      <c r="A18" s="27" t="s">
        <v>137</v>
      </c>
      <c r="B18" s="27">
        <v>9.8</v>
      </c>
      <c r="C18" s="19">
        <f t="shared" ref="C18:C20" si="2">B18*1420</f>
        <v>13916</v>
      </c>
      <c r="D18" s="27" t="s">
        <v>138</v>
      </c>
      <c r="E18" s="27" t="s">
        <v>138</v>
      </c>
      <c r="F18" s="27" t="s">
        <v>139</v>
      </c>
      <c r="G18" s="19"/>
      <c r="H18" s="19"/>
      <c r="I18" s="19"/>
    </row>
    <row r="19">
      <c r="A19" s="18" t="s">
        <v>140</v>
      </c>
      <c r="B19" s="18">
        <v>20.0</v>
      </c>
      <c r="C19" s="26">
        <f t="shared" si="2"/>
        <v>28400</v>
      </c>
      <c r="D19" s="18" t="s">
        <v>138</v>
      </c>
      <c r="E19" s="18" t="s">
        <v>138</v>
      </c>
      <c r="F19" s="18" t="s">
        <v>141</v>
      </c>
      <c r="G19" s="26"/>
      <c r="H19" s="26"/>
      <c r="I19" s="26"/>
    </row>
    <row r="20">
      <c r="A20" s="54" t="s">
        <v>142</v>
      </c>
      <c r="B20" s="54">
        <v>1.5</v>
      </c>
      <c r="C20" s="55">
        <f t="shared" si="2"/>
        <v>2130</v>
      </c>
      <c r="D20" s="54" t="s">
        <v>143</v>
      </c>
      <c r="E20" s="54" t="s">
        <v>144</v>
      </c>
      <c r="F20" s="54" t="s">
        <v>145</v>
      </c>
      <c r="G20" s="55"/>
      <c r="H20" s="55"/>
      <c r="I20" s="55"/>
    </row>
    <row r="21">
      <c r="A21" s="52"/>
      <c r="B21" s="52"/>
      <c r="C21" s="52"/>
      <c r="D21" s="52"/>
      <c r="E21" s="52"/>
      <c r="F21" s="52"/>
      <c r="G21" s="52"/>
      <c r="H21" s="52"/>
      <c r="I21" s="52"/>
    </row>
    <row r="22">
      <c r="A22" s="9" t="s">
        <v>146</v>
      </c>
      <c r="B22" s="17">
        <f>B18+B19+B20</f>
        <v>31.3</v>
      </c>
      <c r="C22" s="17"/>
      <c r="D22" s="17"/>
      <c r="E22" s="17"/>
      <c r="F22" s="17"/>
      <c r="G22" s="17"/>
      <c r="H22" s="17"/>
      <c r="I22" s="17"/>
    </row>
    <row r="23">
      <c r="A23" s="26"/>
      <c r="B23" s="26"/>
      <c r="C23" s="26"/>
      <c r="D23" s="26"/>
      <c r="E23" s="26"/>
      <c r="F23" s="26"/>
      <c r="G23" s="26"/>
      <c r="H23" s="26"/>
      <c r="I23" s="26"/>
    </row>
    <row r="24">
      <c r="A24" s="27" t="s">
        <v>147</v>
      </c>
      <c r="B24" s="19"/>
      <c r="C24" s="19"/>
      <c r="D24" s="19"/>
      <c r="E24" s="19"/>
      <c r="F24" s="19"/>
      <c r="G24" s="19"/>
      <c r="H24" s="19"/>
      <c r="I24" s="19"/>
    </row>
    <row r="25">
      <c r="A25" s="18" t="s">
        <v>148</v>
      </c>
      <c r="B25" s="18" t="s">
        <v>149</v>
      </c>
      <c r="C25" s="18" t="s">
        <v>150</v>
      </c>
      <c r="D25" s="26"/>
      <c r="E25" s="26"/>
      <c r="F25" s="26"/>
      <c r="G25" s="26"/>
      <c r="H25" s="26"/>
      <c r="I25" s="26"/>
    </row>
    <row r="26">
      <c r="A26" s="27" t="s">
        <v>151</v>
      </c>
      <c r="B26" s="19">
        <f>C8</f>
        <v>20</v>
      </c>
      <c r="C26" s="19"/>
      <c r="D26" s="19"/>
      <c r="E26" s="19"/>
      <c r="F26" s="19"/>
      <c r="G26" s="19"/>
      <c r="H26" s="19"/>
      <c r="I26" s="19"/>
    </row>
    <row r="27">
      <c r="A27" s="18" t="s">
        <v>152</v>
      </c>
      <c r="B27" s="26">
        <f>ROUND(D8,3)</f>
        <v>0.304</v>
      </c>
      <c r="C27" s="18" t="s">
        <v>153</v>
      </c>
      <c r="D27" s="26"/>
      <c r="E27" s="26"/>
      <c r="F27" s="26"/>
      <c r="G27" s="26"/>
      <c r="H27" s="26"/>
      <c r="I27" s="26"/>
    </row>
    <row r="28">
      <c r="A28" s="61" t="s">
        <v>154</v>
      </c>
      <c r="B28" s="62">
        <f>ROUND(E8,3)</f>
        <v>19.696</v>
      </c>
      <c r="C28" s="62"/>
      <c r="D28" s="62"/>
      <c r="E28" s="62"/>
      <c r="F28" s="62"/>
      <c r="G28" s="62"/>
      <c r="H28" s="62"/>
      <c r="I28" s="62"/>
    </row>
    <row r="29">
      <c r="A29" s="63" t="s">
        <v>155</v>
      </c>
      <c r="B29" s="64">
        <f>B22</f>
        <v>31.3</v>
      </c>
      <c r="C29" s="64"/>
      <c r="D29" s="64"/>
      <c r="E29" s="64"/>
      <c r="F29" s="64"/>
      <c r="G29" s="64"/>
      <c r="H29" s="64"/>
      <c r="I29" s="64"/>
    </row>
    <row r="30">
      <c r="A30" s="27" t="s">
        <v>156</v>
      </c>
      <c r="B30" s="19">
        <f>ROUND(B28-B29,3)</f>
        <v>-11.604</v>
      </c>
      <c r="C30" s="27" t="s">
        <v>157</v>
      </c>
      <c r="D30" s="19"/>
      <c r="E30" s="19"/>
      <c r="F30" s="19"/>
      <c r="G30" s="19"/>
      <c r="H30" s="19"/>
      <c r="I30" s="19"/>
    </row>
    <row r="31">
      <c r="A31" s="18" t="s">
        <v>158</v>
      </c>
      <c r="B31" s="26">
        <f>ROUND(B30*12,3)</f>
        <v>-139.248</v>
      </c>
      <c r="C31" s="26"/>
      <c r="D31" s="26"/>
      <c r="E31" s="26"/>
      <c r="F31" s="26"/>
      <c r="G31" s="26"/>
      <c r="H31" s="26"/>
      <c r="I31" s="26"/>
    </row>
    <row r="32">
      <c r="A32" s="65"/>
      <c r="B32" s="65"/>
      <c r="C32" s="65"/>
      <c r="D32" s="65"/>
      <c r="E32" s="65"/>
      <c r="F32" s="65"/>
      <c r="G32" s="65"/>
      <c r="H32" s="65"/>
      <c r="I32" s="65"/>
    </row>
    <row r="33">
      <c r="A33" s="18" t="s">
        <v>159</v>
      </c>
      <c r="B33" s="26"/>
      <c r="C33" s="26"/>
      <c r="D33" s="26"/>
      <c r="E33" s="26"/>
      <c r="F33" s="26"/>
      <c r="G33" s="26"/>
      <c r="H33" s="26"/>
      <c r="I33" s="26"/>
    </row>
    <row r="34">
      <c r="A34" s="18" t="s">
        <v>160</v>
      </c>
      <c r="B34" s="26">
        <f>B22</f>
        <v>31.3</v>
      </c>
      <c r="C34" s="18" t="s">
        <v>133</v>
      </c>
      <c r="D34" s="26"/>
      <c r="E34" s="26"/>
      <c r="F34" s="26"/>
      <c r="G34" s="26"/>
      <c r="H34" s="26"/>
      <c r="I34" s="26"/>
    </row>
    <row r="35">
      <c r="A35" s="27" t="s">
        <v>161</v>
      </c>
      <c r="B35" s="19">
        <f>ROUND(E8,3)</f>
        <v>19.696</v>
      </c>
      <c r="C35" s="27" t="s">
        <v>133</v>
      </c>
      <c r="D35" s="19"/>
      <c r="E35" s="19"/>
      <c r="F35" s="19"/>
      <c r="G35" s="19"/>
      <c r="H35" s="19"/>
      <c r="I35" s="19"/>
    </row>
    <row r="36">
      <c r="A36" s="18" t="s">
        <v>162</v>
      </c>
      <c r="B36" s="26">
        <f>ROUND(B34-B35,3)</f>
        <v>11.604</v>
      </c>
      <c r="C36" s="18" t="s">
        <v>133</v>
      </c>
      <c r="D36" s="26"/>
      <c r="E36" s="26"/>
      <c r="F36" s="26"/>
      <c r="G36" s="26"/>
      <c r="H36" s="26"/>
      <c r="I36" s="26"/>
    </row>
    <row r="37">
      <c r="A37" s="61" t="s">
        <v>163</v>
      </c>
      <c r="B37" s="62" t="str">
        <f>IF(B35&gt;=B34,"SUPERÁVIT ✓","DÉFICIT")</f>
        <v>DÉFICIT</v>
      </c>
      <c r="C37" s="62"/>
      <c r="D37" s="62"/>
      <c r="E37" s="62"/>
      <c r="F37" s="62"/>
      <c r="G37" s="62"/>
      <c r="H37" s="62"/>
      <c r="I37" s="62"/>
    </row>
    <row r="38">
      <c r="A38" s="64"/>
      <c r="B38" s="64"/>
      <c r="C38" s="64"/>
      <c r="D38" s="64"/>
      <c r="E38" s="64"/>
      <c r="F38" s="64"/>
      <c r="G38" s="64"/>
      <c r="H38" s="64"/>
      <c r="I38" s="64"/>
    </row>
    <row r="39">
      <c r="A39" s="18" t="s">
        <v>164</v>
      </c>
      <c r="B39" s="26"/>
      <c r="C39" s="26"/>
      <c r="D39" s="26"/>
      <c r="E39" s="26"/>
      <c r="F39" s="26"/>
      <c r="G39" s="26"/>
      <c r="H39" s="26"/>
      <c r="I39" s="26"/>
    </row>
    <row r="40">
      <c r="A40" s="27" t="s">
        <v>165</v>
      </c>
      <c r="B40" s="27" t="s">
        <v>166</v>
      </c>
      <c r="C40" s="27" t="s">
        <v>167</v>
      </c>
      <c r="D40" s="27" t="s">
        <v>168</v>
      </c>
      <c r="E40" s="27" t="s">
        <v>169</v>
      </c>
      <c r="F40" s="19"/>
      <c r="G40" s="19"/>
      <c r="H40" s="19"/>
      <c r="I40" s="19"/>
    </row>
    <row r="41">
      <c r="A41" s="66">
        <v>46113.0</v>
      </c>
      <c r="B41" s="26">
        <f>ROUND(E8,3)</f>
        <v>19.696</v>
      </c>
      <c r="C41" s="26">
        <f>B22</f>
        <v>31.3</v>
      </c>
      <c r="D41" s="18">
        <f t="shared" ref="D41:D46" si="3">ROUND(B41-C41,3)</f>
        <v>-11.604</v>
      </c>
      <c r="E41" s="18">
        <f>D41</f>
        <v>-11.604</v>
      </c>
      <c r="F41" s="26"/>
      <c r="G41" s="26"/>
      <c r="H41" s="26"/>
      <c r="I41" s="26"/>
    </row>
    <row r="42">
      <c r="A42" s="67">
        <v>46143.0</v>
      </c>
      <c r="B42" s="19">
        <f>ROUND(E8,3)</f>
        <v>19.696</v>
      </c>
      <c r="C42" s="19">
        <f>B22</f>
        <v>31.3</v>
      </c>
      <c r="D42" s="27">
        <f t="shared" si="3"/>
        <v>-11.604</v>
      </c>
      <c r="E42" s="27">
        <f t="shared" ref="E42:E46" si="4">ROUND(E41+D42,3)</f>
        <v>-23.208</v>
      </c>
      <c r="F42" s="19"/>
      <c r="G42" s="19"/>
      <c r="H42" s="19"/>
      <c r="I42" s="19"/>
    </row>
    <row r="43">
      <c r="A43" s="66">
        <v>46174.0</v>
      </c>
      <c r="B43" s="26">
        <f>ROUND(E8,3)</f>
        <v>19.696</v>
      </c>
      <c r="C43" s="26">
        <f>B22</f>
        <v>31.3</v>
      </c>
      <c r="D43" s="18">
        <f t="shared" si="3"/>
        <v>-11.604</v>
      </c>
      <c r="E43" s="18">
        <f t="shared" si="4"/>
        <v>-34.812</v>
      </c>
      <c r="F43" s="26"/>
      <c r="G43" s="26"/>
      <c r="H43" s="26"/>
      <c r="I43" s="26"/>
    </row>
    <row r="44">
      <c r="A44" s="67">
        <v>46204.0</v>
      </c>
      <c r="B44" s="19">
        <f>ROUND(E8,3)</f>
        <v>19.696</v>
      </c>
      <c r="C44" s="19">
        <f>B22</f>
        <v>31.3</v>
      </c>
      <c r="D44" s="27">
        <f t="shared" si="3"/>
        <v>-11.604</v>
      </c>
      <c r="E44" s="27">
        <f t="shared" si="4"/>
        <v>-46.416</v>
      </c>
      <c r="F44" s="19"/>
      <c r="G44" s="19"/>
      <c r="H44" s="19"/>
      <c r="I44" s="19"/>
    </row>
    <row r="45">
      <c r="A45" s="68">
        <v>46235.0</v>
      </c>
      <c r="B45" s="16">
        <f>ROUND(E8,3)</f>
        <v>19.696</v>
      </c>
      <c r="C45" s="16">
        <f>B22</f>
        <v>31.3</v>
      </c>
      <c r="D45" s="15">
        <f t="shared" si="3"/>
        <v>-11.604</v>
      </c>
      <c r="E45" s="15">
        <f t="shared" si="4"/>
        <v>-58.02</v>
      </c>
      <c r="F45" s="16"/>
      <c r="G45" s="16"/>
      <c r="H45" s="16"/>
      <c r="I45" s="16"/>
    </row>
    <row r="46">
      <c r="A46" s="69">
        <v>46266.0</v>
      </c>
      <c r="B46" s="70">
        <f>ROUND(E8,3)</f>
        <v>19.696</v>
      </c>
      <c r="C46" s="70">
        <f>B22</f>
        <v>31.3</v>
      </c>
      <c r="D46" s="56">
        <f t="shared" si="3"/>
        <v>-11.604</v>
      </c>
      <c r="E46" s="56">
        <f t="shared" si="4"/>
        <v>-69.624</v>
      </c>
    </row>
  </sheetData>
  <dataValidations>
    <dataValidation type="list" allowBlank="1" sqref="H6:H39">
      <formula1>"Activo,Pausado,Cancelado"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5.13"/>
    <col customWidth="1" min="2" max="2" width="17.63"/>
    <col customWidth="1" min="3" max="3" width="16.38"/>
    <col customWidth="1" min="4" max="4" width="20.13"/>
    <col customWidth="1" min="5" max="5" width="18.88"/>
    <col customWidth="1" min="6" max="6" width="22.63"/>
    <col customWidth="1" min="7" max="7" width="27.63"/>
    <col customWidth="1" min="8" max="8" width="20.13"/>
    <col customWidth="1" min="9" max="9" width="12.63"/>
    <col customWidth="1" min="10" max="10" width="20.13"/>
    <col customWidth="1" min="11" max="11" width="31.38"/>
  </cols>
  <sheetData>
    <row r="1" ht="27.0" customHeight="1">
      <c r="A1" s="28" t="s">
        <v>170</v>
      </c>
      <c r="B1" s="29"/>
      <c r="C1" s="29"/>
      <c r="D1" s="29"/>
      <c r="E1" s="29"/>
      <c r="F1" s="29"/>
      <c r="G1" s="29"/>
      <c r="H1" s="29"/>
      <c r="I1" s="29"/>
      <c r="J1" s="41"/>
      <c r="K1" s="30"/>
    </row>
    <row r="2">
      <c r="A2" s="3" t="s">
        <v>171</v>
      </c>
      <c r="B2" s="3"/>
      <c r="C2" s="3"/>
      <c r="D2" s="3"/>
      <c r="E2" s="4"/>
      <c r="F2" s="3"/>
      <c r="G2" s="3"/>
      <c r="H2" s="3"/>
      <c r="I2" s="3"/>
      <c r="J2" s="4"/>
      <c r="K2" s="4"/>
    </row>
    <row r="3">
      <c r="A3" s="71"/>
      <c r="B3" s="71"/>
      <c r="C3" s="71"/>
      <c r="D3" s="71"/>
      <c r="E3" s="31"/>
      <c r="F3" s="71"/>
      <c r="G3" s="71"/>
      <c r="H3" s="71"/>
      <c r="I3" s="71"/>
      <c r="J3" s="31"/>
      <c r="K3" s="31"/>
    </row>
    <row r="4" ht="22.5" customHeight="1">
      <c r="A4" s="32" t="s">
        <v>172</v>
      </c>
      <c r="B4" s="33" t="s">
        <v>173</v>
      </c>
      <c r="C4" s="33" t="s">
        <v>174</v>
      </c>
      <c r="D4" s="33" t="s">
        <v>175</v>
      </c>
      <c r="E4" s="33" t="s">
        <v>176</v>
      </c>
      <c r="F4" s="33" t="s">
        <v>177</v>
      </c>
      <c r="G4" s="33" t="s">
        <v>178</v>
      </c>
      <c r="H4" s="33" t="s">
        <v>179</v>
      </c>
      <c r="I4" s="33" t="s">
        <v>180</v>
      </c>
      <c r="J4" s="33" t="s">
        <v>181</v>
      </c>
      <c r="K4" s="34" t="s">
        <v>9</v>
      </c>
    </row>
    <row r="5">
      <c r="A5" s="35" t="s">
        <v>182</v>
      </c>
      <c r="B5" s="35" t="s">
        <v>183</v>
      </c>
      <c r="C5" s="35" t="s">
        <v>184</v>
      </c>
      <c r="D5" s="35" t="s">
        <v>185</v>
      </c>
      <c r="E5" s="72"/>
      <c r="F5" s="73" t="s">
        <v>186</v>
      </c>
      <c r="G5" s="38" t="s">
        <v>187</v>
      </c>
      <c r="H5" s="35" t="s">
        <v>188</v>
      </c>
      <c r="I5" s="35" t="s">
        <v>189</v>
      </c>
      <c r="J5" s="35" t="s">
        <v>190</v>
      </c>
      <c r="K5" s="74"/>
    </row>
    <row r="6">
      <c r="A6" s="27" t="s">
        <v>191</v>
      </c>
      <c r="B6" s="27" t="s">
        <v>183</v>
      </c>
      <c r="C6" s="27" t="s">
        <v>184</v>
      </c>
      <c r="D6" s="27" t="s">
        <v>192</v>
      </c>
      <c r="E6" s="19"/>
      <c r="F6" s="45" t="s">
        <v>193</v>
      </c>
      <c r="G6" s="46" t="s">
        <v>194</v>
      </c>
      <c r="H6" s="27" t="s">
        <v>195</v>
      </c>
      <c r="I6" s="27" t="s">
        <v>189</v>
      </c>
      <c r="J6" s="18" t="s">
        <v>190</v>
      </c>
      <c r="K6" s="39"/>
    </row>
    <row r="7">
      <c r="A7" s="18" t="s">
        <v>196</v>
      </c>
      <c r="B7" s="18" t="s">
        <v>183</v>
      </c>
      <c r="C7" s="18" t="s">
        <v>184</v>
      </c>
      <c r="D7" s="18" t="s">
        <v>197</v>
      </c>
      <c r="E7" s="26"/>
      <c r="F7" s="75" t="s">
        <v>198</v>
      </c>
      <c r="G7" s="76" t="s">
        <v>199</v>
      </c>
      <c r="H7" s="18" t="s">
        <v>200</v>
      </c>
      <c r="I7" s="18" t="s">
        <v>189</v>
      </c>
      <c r="K7" s="40"/>
    </row>
    <row r="8">
      <c r="A8" s="27" t="s">
        <v>201</v>
      </c>
      <c r="B8" s="27" t="s">
        <v>183</v>
      </c>
      <c r="C8" s="27" t="s">
        <v>184</v>
      </c>
      <c r="D8" s="27" t="s">
        <v>192</v>
      </c>
      <c r="E8" s="19"/>
      <c r="F8" s="45" t="s">
        <v>202</v>
      </c>
      <c r="G8" s="46" t="s">
        <v>203</v>
      </c>
      <c r="H8" s="27" t="s">
        <v>204</v>
      </c>
      <c r="I8" s="27" t="s">
        <v>189</v>
      </c>
      <c r="J8" s="27" t="s">
        <v>190</v>
      </c>
      <c r="K8" s="39"/>
    </row>
    <row r="9">
      <c r="A9" s="18" t="s">
        <v>205</v>
      </c>
      <c r="B9" s="18" t="s">
        <v>183</v>
      </c>
      <c r="C9" s="18" t="s">
        <v>206</v>
      </c>
      <c r="D9" s="18" t="s">
        <v>207</v>
      </c>
      <c r="E9" s="26"/>
      <c r="F9" s="26"/>
      <c r="G9" s="76" t="s">
        <v>208</v>
      </c>
      <c r="H9" s="18" t="s">
        <v>209</v>
      </c>
      <c r="I9" s="18" t="s">
        <v>210</v>
      </c>
      <c r="J9" s="18" t="s">
        <v>190</v>
      </c>
      <c r="K9" s="40"/>
    </row>
    <row r="10">
      <c r="A10" s="27" t="s">
        <v>211</v>
      </c>
      <c r="B10" s="27" t="s">
        <v>212</v>
      </c>
      <c r="C10" s="27" t="s">
        <v>206</v>
      </c>
      <c r="D10" s="27" t="s">
        <v>197</v>
      </c>
      <c r="E10" s="19"/>
      <c r="F10" s="19"/>
      <c r="G10" s="46" t="s">
        <v>213</v>
      </c>
      <c r="H10" s="27" t="s">
        <v>214</v>
      </c>
      <c r="I10" s="45" t="s">
        <v>215</v>
      </c>
      <c r="J10" s="27" t="s">
        <v>190</v>
      </c>
      <c r="K10" s="39"/>
    </row>
    <row r="11">
      <c r="A11" s="18" t="s">
        <v>216</v>
      </c>
      <c r="B11" s="18" t="s">
        <v>212</v>
      </c>
      <c r="C11" s="18" t="s">
        <v>206</v>
      </c>
      <c r="D11" s="18" t="s">
        <v>217</v>
      </c>
      <c r="E11" s="26"/>
      <c r="F11" s="26"/>
      <c r="G11" s="76" t="s">
        <v>218</v>
      </c>
      <c r="H11" s="18" t="s">
        <v>219</v>
      </c>
      <c r="I11" s="75" t="s">
        <v>215</v>
      </c>
      <c r="J11" s="18" t="s">
        <v>190</v>
      </c>
      <c r="K11" s="40"/>
    </row>
    <row r="12">
      <c r="A12" s="27" t="s">
        <v>220</v>
      </c>
      <c r="B12" s="27" t="s">
        <v>212</v>
      </c>
      <c r="C12" s="27" t="s">
        <v>206</v>
      </c>
      <c r="D12" s="27" t="s">
        <v>197</v>
      </c>
      <c r="E12" s="19"/>
      <c r="F12" s="19"/>
      <c r="G12" s="46" t="s">
        <v>221</v>
      </c>
      <c r="H12" s="27" t="s">
        <v>214</v>
      </c>
      <c r="I12" s="45" t="s">
        <v>215</v>
      </c>
      <c r="J12" s="27" t="s">
        <v>190</v>
      </c>
      <c r="K12" s="39"/>
    </row>
    <row r="13">
      <c r="A13" s="18" t="s">
        <v>222</v>
      </c>
      <c r="B13" s="18" t="s">
        <v>212</v>
      </c>
      <c r="C13" s="18" t="s">
        <v>206</v>
      </c>
      <c r="D13" s="18" t="s">
        <v>197</v>
      </c>
      <c r="E13" s="18"/>
      <c r="F13" s="26"/>
      <c r="G13" s="76" t="s">
        <v>223</v>
      </c>
      <c r="H13" s="18" t="s">
        <v>214</v>
      </c>
      <c r="I13" s="75" t="s">
        <v>215</v>
      </c>
      <c r="J13" s="18" t="s">
        <v>190</v>
      </c>
      <c r="K13" s="40"/>
    </row>
    <row r="14">
      <c r="A14" s="27" t="s">
        <v>224</v>
      </c>
      <c r="B14" s="27" t="s">
        <v>212</v>
      </c>
      <c r="C14" s="27" t="s">
        <v>206</v>
      </c>
      <c r="D14" s="27" t="s">
        <v>225</v>
      </c>
      <c r="E14" s="27"/>
      <c r="F14" s="19"/>
      <c r="G14" s="46" t="s">
        <v>226</v>
      </c>
      <c r="H14" s="27" t="s">
        <v>227</v>
      </c>
      <c r="I14" s="45" t="s">
        <v>215</v>
      </c>
      <c r="J14" s="27" t="s">
        <v>190</v>
      </c>
      <c r="K14" s="39"/>
    </row>
    <row r="15">
      <c r="A15" s="18" t="s">
        <v>228</v>
      </c>
      <c r="B15" s="18" t="s">
        <v>212</v>
      </c>
      <c r="C15" s="18" t="s">
        <v>206</v>
      </c>
      <c r="D15" s="18" t="s">
        <v>197</v>
      </c>
      <c r="E15" s="26"/>
      <c r="F15" s="26"/>
      <c r="G15" s="76" t="s">
        <v>229</v>
      </c>
      <c r="H15" s="18" t="s">
        <v>230</v>
      </c>
      <c r="I15" s="75" t="s">
        <v>215</v>
      </c>
      <c r="J15" s="18" t="s">
        <v>190</v>
      </c>
      <c r="K15" s="40"/>
    </row>
    <row r="16">
      <c r="A16" s="27" t="s">
        <v>231</v>
      </c>
      <c r="B16" s="27" t="s">
        <v>232</v>
      </c>
      <c r="C16" s="27" t="s">
        <v>206</v>
      </c>
      <c r="D16" s="27" t="s">
        <v>233</v>
      </c>
      <c r="E16" s="27" t="s">
        <v>234</v>
      </c>
      <c r="F16" s="19"/>
      <c r="G16" s="46" t="s">
        <v>235</v>
      </c>
      <c r="H16" s="27" t="s">
        <v>236</v>
      </c>
      <c r="I16" s="27" t="s">
        <v>176</v>
      </c>
      <c r="J16" s="27" t="s">
        <v>190</v>
      </c>
      <c r="K16" s="39"/>
    </row>
    <row r="17">
      <c r="A17" s="18" t="s">
        <v>237</v>
      </c>
      <c r="B17" s="18" t="s">
        <v>232</v>
      </c>
      <c r="C17" s="18" t="s">
        <v>206</v>
      </c>
      <c r="D17" s="18" t="s">
        <v>192</v>
      </c>
      <c r="E17" s="18" t="s">
        <v>238</v>
      </c>
      <c r="F17" s="18"/>
      <c r="G17" s="76" t="s">
        <v>239</v>
      </c>
      <c r="H17" s="18" t="s">
        <v>240</v>
      </c>
      <c r="I17" s="18" t="s">
        <v>176</v>
      </c>
      <c r="J17" s="18" t="s">
        <v>190</v>
      </c>
      <c r="K17" s="40"/>
    </row>
    <row r="18">
      <c r="A18" s="27" t="s">
        <v>241</v>
      </c>
      <c r="B18" s="27" t="s">
        <v>232</v>
      </c>
      <c r="C18" s="27" t="s">
        <v>206</v>
      </c>
      <c r="D18" s="27" t="s">
        <v>242</v>
      </c>
      <c r="E18" s="27"/>
      <c r="F18" s="19"/>
      <c r="G18" s="46" t="s">
        <v>243</v>
      </c>
      <c r="H18" s="27" t="s">
        <v>244</v>
      </c>
      <c r="I18" s="27" t="s">
        <v>245</v>
      </c>
      <c r="J18" s="27" t="s">
        <v>190</v>
      </c>
      <c r="K18" s="39"/>
    </row>
    <row r="19">
      <c r="A19" s="18" t="s">
        <v>246</v>
      </c>
      <c r="B19" s="18" t="s">
        <v>232</v>
      </c>
      <c r="C19" s="18" t="s">
        <v>206</v>
      </c>
      <c r="D19" s="18" t="s">
        <v>247</v>
      </c>
      <c r="E19" s="18"/>
      <c r="F19" s="26"/>
      <c r="G19" s="76" t="s">
        <v>248</v>
      </c>
      <c r="H19" s="18" t="s">
        <v>249</v>
      </c>
      <c r="I19" s="18" t="s">
        <v>245</v>
      </c>
      <c r="J19" s="18" t="s">
        <v>190</v>
      </c>
      <c r="K19" s="40"/>
    </row>
    <row r="20">
      <c r="A20" s="27" t="s">
        <v>250</v>
      </c>
      <c r="B20" s="27" t="s">
        <v>232</v>
      </c>
      <c r="C20" s="27" t="s">
        <v>184</v>
      </c>
      <c r="D20" s="27" t="s">
        <v>192</v>
      </c>
      <c r="E20" s="27"/>
      <c r="F20" s="45" t="s">
        <v>251</v>
      </c>
      <c r="G20" s="46" t="s">
        <v>252</v>
      </c>
      <c r="H20" s="27" t="s">
        <v>253</v>
      </c>
      <c r="I20" s="27" t="s">
        <v>189</v>
      </c>
      <c r="J20" s="27" t="s">
        <v>254</v>
      </c>
      <c r="K20" s="39"/>
    </row>
    <row r="21">
      <c r="A21" s="18" t="s">
        <v>255</v>
      </c>
      <c r="B21" s="18" t="s">
        <v>256</v>
      </c>
      <c r="C21" s="18" t="s">
        <v>206</v>
      </c>
      <c r="D21" s="18" t="s">
        <v>192</v>
      </c>
      <c r="E21" s="18" t="s">
        <v>255</v>
      </c>
      <c r="F21" s="26"/>
      <c r="G21" s="76" t="s">
        <v>257</v>
      </c>
      <c r="H21" s="18" t="s">
        <v>258</v>
      </c>
      <c r="I21" s="18" t="s">
        <v>176</v>
      </c>
      <c r="J21" s="18" t="s">
        <v>254</v>
      </c>
      <c r="K21" s="40"/>
    </row>
    <row r="22">
      <c r="A22" s="27" t="s">
        <v>259</v>
      </c>
      <c r="B22" s="27" t="s">
        <v>256</v>
      </c>
      <c r="C22" s="27" t="s">
        <v>206</v>
      </c>
      <c r="D22" s="27" t="s">
        <v>192</v>
      </c>
      <c r="E22" s="27" t="s">
        <v>260</v>
      </c>
      <c r="F22" s="27"/>
      <c r="G22" s="46" t="s">
        <v>261</v>
      </c>
      <c r="H22" s="27" t="s">
        <v>262</v>
      </c>
      <c r="I22" s="27" t="s">
        <v>176</v>
      </c>
      <c r="J22" s="27" t="s">
        <v>254</v>
      </c>
      <c r="K22" s="39"/>
    </row>
    <row r="23">
      <c r="A23" s="18" t="s">
        <v>263</v>
      </c>
      <c r="B23" s="18" t="s">
        <v>256</v>
      </c>
      <c r="C23" s="18" t="s">
        <v>206</v>
      </c>
      <c r="D23" s="18" t="s">
        <v>192</v>
      </c>
      <c r="E23" s="18" t="s">
        <v>264</v>
      </c>
      <c r="F23" s="26"/>
      <c r="G23" s="76" t="s">
        <v>265</v>
      </c>
      <c r="H23" s="18" t="s">
        <v>266</v>
      </c>
      <c r="I23" s="18" t="s">
        <v>176</v>
      </c>
      <c r="J23" s="18" t="s">
        <v>254</v>
      </c>
      <c r="K23" s="40"/>
    </row>
    <row r="24">
      <c r="A24" s="27" t="s">
        <v>267</v>
      </c>
      <c r="B24" s="27" t="s">
        <v>256</v>
      </c>
      <c r="C24" s="27" t="s">
        <v>206</v>
      </c>
      <c r="D24" s="27" t="s">
        <v>268</v>
      </c>
      <c r="E24" s="27"/>
      <c r="F24" s="19"/>
      <c r="G24" s="46" t="s">
        <v>269</v>
      </c>
      <c r="H24" s="27" t="s">
        <v>270</v>
      </c>
      <c r="I24" s="27" t="s">
        <v>271</v>
      </c>
      <c r="J24" s="27" t="s">
        <v>254</v>
      </c>
      <c r="K24" s="39"/>
    </row>
    <row r="25">
      <c r="A25" s="18" t="s">
        <v>272</v>
      </c>
      <c r="B25" s="18" t="s">
        <v>273</v>
      </c>
      <c r="C25" s="18" t="s">
        <v>274</v>
      </c>
      <c r="D25" s="18" t="s">
        <v>275</v>
      </c>
      <c r="E25" s="18" t="s">
        <v>276</v>
      </c>
      <c r="F25" s="75" t="s">
        <v>277</v>
      </c>
      <c r="G25" s="76" t="s">
        <v>278</v>
      </c>
      <c r="H25" s="18" t="s">
        <v>279</v>
      </c>
      <c r="I25" s="18" t="s">
        <v>280</v>
      </c>
      <c r="J25" s="18" t="s">
        <v>254</v>
      </c>
      <c r="K25" s="40"/>
    </row>
    <row r="26">
      <c r="A26" s="27" t="s">
        <v>281</v>
      </c>
      <c r="B26" s="27" t="s">
        <v>273</v>
      </c>
      <c r="C26" s="27" t="s">
        <v>206</v>
      </c>
      <c r="D26" s="27" t="s">
        <v>282</v>
      </c>
      <c r="E26" s="27" t="s">
        <v>283</v>
      </c>
      <c r="F26" s="19"/>
      <c r="G26" s="46" t="s">
        <v>284</v>
      </c>
      <c r="H26" s="27" t="s">
        <v>285</v>
      </c>
      <c r="I26" s="27" t="s">
        <v>280</v>
      </c>
      <c r="J26" s="27" t="s">
        <v>254</v>
      </c>
      <c r="K26" s="39"/>
    </row>
    <row r="27">
      <c r="A27" s="18" t="s">
        <v>286</v>
      </c>
      <c r="B27" s="18" t="s">
        <v>273</v>
      </c>
      <c r="C27" s="18" t="s">
        <v>206</v>
      </c>
      <c r="D27" s="18" t="s">
        <v>287</v>
      </c>
      <c r="E27" s="18" t="s">
        <v>288</v>
      </c>
      <c r="F27" s="26"/>
      <c r="G27" s="76" t="s">
        <v>289</v>
      </c>
      <c r="H27" s="18" t="s">
        <v>290</v>
      </c>
      <c r="I27" s="18" t="s">
        <v>280</v>
      </c>
      <c r="J27" s="18" t="s">
        <v>254</v>
      </c>
      <c r="K27" s="40"/>
    </row>
    <row r="28">
      <c r="A28" s="27" t="s">
        <v>291</v>
      </c>
      <c r="B28" s="27" t="s">
        <v>273</v>
      </c>
      <c r="C28" s="27" t="s">
        <v>274</v>
      </c>
      <c r="D28" s="27" t="s">
        <v>292</v>
      </c>
      <c r="E28" s="27" t="s">
        <v>293</v>
      </c>
      <c r="F28" s="45" t="s">
        <v>294</v>
      </c>
      <c r="G28" s="46" t="s">
        <v>295</v>
      </c>
      <c r="H28" s="27" t="s">
        <v>296</v>
      </c>
      <c r="I28" s="27" t="s">
        <v>280</v>
      </c>
      <c r="J28" s="27" t="s">
        <v>254</v>
      </c>
      <c r="K28" s="39"/>
    </row>
    <row r="29">
      <c r="A29" s="18" t="s">
        <v>297</v>
      </c>
      <c r="B29" s="18" t="s">
        <v>298</v>
      </c>
      <c r="C29" s="18" t="s">
        <v>206</v>
      </c>
      <c r="D29" s="18" t="s">
        <v>299</v>
      </c>
      <c r="E29" s="18" t="s">
        <v>300</v>
      </c>
      <c r="F29" s="18"/>
      <c r="G29" s="76" t="s">
        <v>301</v>
      </c>
      <c r="H29" s="18" t="s">
        <v>302</v>
      </c>
      <c r="I29" s="18" t="s">
        <v>245</v>
      </c>
      <c r="J29" s="18" t="s">
        <v>254</v>
      </c>
      <c r="K29" s="40"/>
    </row>
    <row r="30">
      <c r="A30" s="27" t="s">
        <v>303</v>
      </c>
      <c r="B30" s="27" t="s">
        <v>298</v>
      </c>
      <c r="C30" s="27" t="s">
        <v>206</v>
      </c>
      <c r="D30" s="27" t="s">
        <v>304</v>
      </c>
      <c r="E30" s="27" t="s">
        <v>305</v>
      </c>
      <c r="F30" s="27"/>
      <c r="G30" s="46" t="s">
        <v>306</v>
      </c>
      <c r="H30" s="27" t="s">
        <v>236</v>
      </c>
      <c r="I30" s="27" t="s">
        <v>245</v>
      </c>
      <c r="J30" s="27" t="s">
        <v>254</v>
      </c>
      <c r="K30" s="39"/>
    </row>
    <row r="31">
      <c r="A31" s="18" t="s">
        <v>307</v>
      </c>
      <c r="B31" s="18" t="s">
        <v>232</v>
      </c>
      <c r="C31" s="18" t="s">
        <v>206</v>
      </c>
      <c r="D31" s="18" t="s">
        <v>308</v>
      </c>
      <c r="E31" s="18" t="s">
        <v>309</v>
      </c>
      <c r="F31" s="18"/>
      <c r="G31" s="76" t="s">
        <v>310</v>
      </c>
      <c r="H31" s="18" t="s">
        <v>311</v>
      </c>
      <c r="I31" s="18" t="s">
        <v>176</v>
      </c>
      <c r="J31" s="18" t="s">
        <v>254</v>
      </c>
      <c r="K31" s="40"/>
    </row>
    <row r="32">
      <c r="A32" s="27" t="s">
        <v>312</v>
      </c>
      <c r="B32" s="27" t="s">
        <v>313</v>
      </c>
      <c r="C32" s="27" t="s">
        <v>274</v>
      </c>
      <c r="D32" s="27" t="s">
        <v>314</v>
      </c>
      <c r="E32" s="27" t="s">
        <v>315</v>
      </c>
      <c r="F32" s="45" t="s">
        <v>316</v>
      </c>
      <c r="G32" s="46" t="s">
        <v>317</v>
      </c>
      <c r="H32" s="27" t="s">
        <v>318</v>
      </c>
      <c r="I32" s="27" t="s">
        <v>319</v>
      </c>
      <c r="J32" s="27" t="s">
        <v>254</v>
      </c>
      <c r="K32" s="39"/>
    </row>
    <row r="33">
      <c r="A33" s="18" t="s">
        <v>320</v>
      </c>
      <c r="B33" s="18" t="s">
        <v>321</v>
      </c>
      <c r="C33" s="18" t="s">
        <v>274</v>
      </c>
      <c r="D33" s="18" t="s">
        <v>322</v>
      </c>
      <c r="E33" s="18" t="s">
        <v>323</v>
      </c>
      <c r="F33" s="75" t="s">
        <v>324</v>
      </c>
      <c r="G33" s="76" t="s">
        <v>325</v>
      </c>
      <c r="H33" s="18" t="s">
        <v>326</v>
      </c>
      <c r="I33" s="18" t="s">
        <v>319</v>
      </c>
      <c r="J33" s="18" t="s">
        <v>254</v>
      </c>
      <c r="K33" s="40"/>
    </row>
    <row r="34">
      <c r="A34" s="27" t="s">
        <v>327</v>
      </c>
      <c r="B34" s="27" t="s">
        <v>328</v>
      </c>
      <c r="C34" s="27" t="s">
        <v>184</v>
      </c>
      <c r="D34" s="27" t="s">
        <v>329</v>
      </c>
      <c r="E34" s="27" t="s">
        <v>330</v>
      </c>
      <c r="F34" s="45" t="s">
        <v>331</v>
      </c>
      <c r="G34" s="46" t="s">
        <v>332</v>
      </c>
      <c r="H34" s="27" t="s">
        <v>258</v>
      </c>
      <c r="I34" s="27" t="s">
        <v>333</v>
      </c>
      <c r="J34" s="27" t="s">
        <v>254</v>
      </c>
      <c r="K34" s="39"/>
    </row>
    <row r="35">
      <c r="A35" s="26"/>
      <c r="B35" s="26"/>
      <c r="C35" s="26"/>
      <c r="D35" s="26"/>
      <c r="E35" s="26"/>
      <c r="F35" s="26"/>
      <c r="G35" s="40"/>
      <c r="H35" s="26"/>
      <c r="I35" s="26"/>
      <c r="J35" s="26"/>
      <c r="K35" s="40"/>
    </row>
  </sheetData>
  <dataValidations>
    <dataValidation type="list" allowBlank="1" sqref="J5:J6 J8:J35">
      <formula1>"Sin contactar,Contactado,Respondió,Reunión agendada,Propuesta enviada,Cerrado ✓,Descartado ✗"</formula1>
    </dataValidation>
    <dataValidation type="list" allowBlank="1" sqref="H5:H35">
      <formula1>"Rediseño web,Web desde cero,E-Commerce,Growth,Pro,Business,Personalizado"</formula1>
    </dataValidation>
  </dataValidations>
  <hyperlinks>
    <hyperlink r:id="rId1" ref="F5"/>
    <hyperlink r:id="rId2" ref="F6"/>
    <hyperlink r:id="rId3" ref="F7"/>
    <hyperlink r:id="rId4" ref="F8"/>
    <hyperlink r:id="rId5" ref="I10"/>
    <hyperlink r:id="rId6" ref="I11"/>
    <hyperlink r:id="rId7" ref="I12"/>
    <hyperlink r:id="rId8" ref="I13"/>
    <hyperlink r:id="rId9" ref="I14"/>
    <hyperlink r:id="rId10" ref="I15"/>
    <hyperlink r:id="rId11" ref="F20"/>
    <hyperlink r:id="rId12" ref="F25"/>
    <hyperlink r:id="rId13" ref="F28"/>
    <hyperlink r:id="rId14" ref="F32"/>
    <hyperlink r:id="rId15" ref="F33"/>
    <hyperlink r:id="rId16" ref="F34"/>
  </hyperlinks>
  <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88"/>
    <col customWidth="1" min="2" max="2" width="16.38"/>
    <col customWidth="1" min="3" max="3" width="13.88"/>
    <col customWidth="1" min="4" max="4" width="18.88"/>
    <col customWidth="1" min="5" max="5" width="35.13"/>
  </cols>
  <sheetData>
    <row r="1" ht="27.0" customHeight="1">
      <c r="A1" s="28" t="s">
        <v>334</v>
      </c>
      <c r="B1" s="41"/>
      <c r="C1" s="41"/>
      <c r="D1" s="29" t="s">
        <v>335</v>
      </c>
      <c r="E1" s="77">
        <v>46108.0</v>
      </c>
    </row>
    <row r="2">
      <c r="A2" s="78"/>
      <c r="B2" s="78"/>
      <c r="C2" s="78"/>
      <c r="D2" s="78"/>
      <c r="E2" s="78"/>
    </row>
    <row r="3">
      <c r="A3" s="51" t="s">
        <v>336</v>
      </c>
      <c r="B3" s="51" t="s">
        <v>337</v>
      </c>
      <c r="C3" s="51" t="s">
        <v>338</v>
      </c>
      <c r="D3" s="51" t="s">
        <v>9</v>
      </c>
      <c r="E3" s="52"/>
    </row>
    <row r="4">
      <c r="A4" s="9" t="s">
        <v>339</v>
      </c>
      <c r="B4" s="9">
        <v>1425.0</v>
      </c>
      <c r="C4" s="9" t="s">
        <v>340</v>
      </c>
      <c r="D4" s="9" t="s">
        <v>341</v>
      </c>
      <c r="E4" s="17"/>
    </row>
    <row r="5">
      <c r="A5" s="18" t="s">
        <v>342</v>
      </c>
      <c r="B5" s="18">
        <v>1415.0</v>
      </c>
      <c r="C5" s="18" t="s">
        <v>340</v>
      </c>
      <c r="D5" s="18" t="s">
        <v>343</v>
      </c>
      <c r="E5" s="26"/>
    </row>
    <row r="6">
      <c r="A6" s="27" t="s">
        <v>344</v>
      </c>
      <c r="B6" s="27">
        <v>0.0152</v>
      </c>
      <c r="C6" s="27" t="s">
        <v>345</v>
      </c>
      <c r="D6" s="27" t="s">
        <v>346</v>
      </c>
      <c r="E6" s="19"/>
    </row>
    <row r="7">
      <c r="A7" s="26"/>
      <c r="B7" s="26"/>
      <c r="C7" s="26"/>
      <c r="D7" s="26"/>
      <c r="E7" s="26"/>
    </row>
    <row r="8">
      <c r="A8" s="51" t="s">
        <v>347</v>
      </c>
      <c r="B8" s="51" t="s">
        <v>337</v>
      </c>
      <c r="C8" s="52"/>
      <c r="D8" s="52"/>
      <c r="E8" s="52"/>
    </row>
    <row r="9">
      <c r="A9" s="9" t="s">
        <v>22</v>
      </c>
      <c r="B9" s="9">
        <v>5.0</v>
      </c>
      <c r="C9" s="9" t="s">
        <v>348</v>
      </c>
      <c r="D9" s="9" t="s">
        <v>349</v>
      </c>
      <c r="E9" s="17"/>
    </row>
    <row r="10">
      <c r="A10" s="27" t="s">
        <v>350</v>
      </c>
      <c r="B10" s="27">
        <v>0.0</v>
      </c>
      <c r="C10" s="19"/>
      <c r="D10" s="27" t="s">
        <v>351</v>
      </c>
      <c r="E10" s="19"/>
    </row>
    <row r="11">
      <c r="A11" s="18" t="s">
        <v>352</v>
      </c>
      <c r="B11" s="26">
        <f>B9-B10</f>
        <v>5</v>
      </c>
      <c r="C11" s="26"/>
      <c r="D11" s="26"/>
      <c r="E11" s="26"/>
    </row>
    <row r="12">
      <c r="A12" s="52"/>
      <c r="B12" s="52"/>
      <c r="C12" s="52"/>
      <c r="D12" s="52"/>
      <c r="E12" s="52"/>
    </row>
    <row r="13">
      <c r="A13" s="9" t="s">
        <v>353</v>
      </c>
      <c r="B13" s="9" t="s">
        <v>133</v>
      </c>
      <c r="C13" s="9" t="s">
        <v>134</v>
      </c>
      <c r="D13" s="9" t="s">
        <v>135</v>
      </c>
      <c r="E13" s="9" t="s">
        <v>354</v>
      </c>
    </row>
    <row r="14">
      <c r="A14" s="27" t="s">
        <v>137</v>
      </c>
      <c r="B14" s="27">
        <v>9.8</v>
      </c>
      <c r="C14" s="27">
        <v>13867.0</v>
      </c>
      <c r="D14" s="27" t="s">
        <v>138</v>
      </c>
      <c r="E14" s="27" t="s">
        <v>355</v>
      </c>
    </row>
    <row r="15">
      <c r="A15" s="18" t="s">
        <v>140</v>
      </c>
      <c r="B15" s="18">
        <v>20.0</v>
      </c>
      <c r="C15" s="18">
        <v>28300.0</v>
      </c>
      <c r="D15" s="18" t="s">
        <v>138</v>
      </c>
      <c r="E15" s="18" t="s">
        <v>356</v>
      </c>
    </row>
    <row r="16">
      <c r="A16" s="27" t="s">
        <v>357</v>
      </c>
      <c r="B16" s="27">
        <v>1.5</v>
      </c>
      <c r="C16" s="27">
        <v>2125.0</v>
      </c>
      <c r="D16" s="27" t="s">
        <v>358</v>
      </c>
      <c r="E16" s="27" t="s">
        <v>359</v>
      </c>
    </row>
    <row r="17">
      <c r="A17" s="79" t="s">
        <v>360</v>
      </c>
      <c r="B17" s="79">
        <v>31.3</v>
      </c>
      <c r="C17" s="80"/>
      <c r="D17" s="80"/>
      <c r="E17" s="80"/>
    </row>
    <row r="18">
      <c r="A18" s="52"/>
      <c r="B18" s="52"/>
      <c r="C18" s="52"/>
      <c r="D18" s="52"/>
      <c r="E18" s="52"/>
    </row>
    <row r="19">
      <c r="A19" s="9" t="s">
        <v>361</v>
      </c>
      <c r="B19" s="9" t="s">
        <v>362</v>
      </c>
      <c r="C19" s="9" t="s">
        <v>363</v>
      </c>
      <c r="D19" s="9" t="s">
        <v>364</v>
      </c>
      <c r="E19" s="9" t="s">
        <v>365</v>
      </c>
    </row>
    <row r="20">
      <c r="A20" s="45" t="s">
        <v>107</v>
      </c>
      <c r="B20" s="27">
        <v>8500.0</v>
      </c>
      <c r="C20" s="27">
        <v>6.01</v>
      </c>
      <c r="D20" s="81">
        <v>46430.0</v>
      </c>
      <c r="E20" s="19"/>
    </row>
    <row r="21">
      <c r="A21" s="75" t="s">
        <v>101</v>
      </c>
      <c r="B21" s="18">
        <v>8500.0</v>
      </c>
      <c r="C21" s="18">
        <v>6.01</v>
      </c>
      <c r="D21" s="53">
        <v>46443.0</v>
      </c>
      <c r="E21" s="26"/>
    </row>
    <row r="22">
      <c r="A22" s="45" t="s">
        <v>94</v>
      </c>
      <c r="B22" s="27">
        <v>8500.0</v>
      </c>
      <c r="C22" s="27">
        <v>6.01</v>
      </c>
      <c r="D22" s="81">
        <v>46449.0</v>
      </c>
      <c r="E22" s="19"/>
    </row>
    <row r="23">
      <c r="A23" s="79" t="s">
        <v>366</v>
      </c>
      <c r="B23" s="80">
        <f>B20+B21+B22</f>
        <v>25500</v>
      </c>
      <c r="C23" s="79">
        <v>18.02</v>
      </c>
      <c r="D23" s="80"/>
      <c r="E23" s="80"/>
    </row>
    <row r="24">
      <c r="A24" s="52"/>
      <c r="B24" s="52"/>
      <c r="C24" s="52"/>
      <c r="D24" s="52"/>
      <c r="E24" s="52"/>
    </row>
    <row r="25">
      <c r="A25" s="9" t="s">
        <v>367</v>
      </c>
      <c r="B25" s="17"/>
      <c r="C25" s="17"/>
      <c r="D25" s="17"/>
      <c r="E25" s="17"/>
    </row>
    <row r="26">
      <c r="A26" s="27" t="s">
        <v>368</v>
      </c>
      <c r="B26" s="27" t="s">
        <v>369</v>
      </c>
      <c r="C26" s="19"/>
      <c r="D26" s="19"/>
      <c r="E26" s="19"/>
    </row>
    <row r="27">
      <c r="A27" s="18" t="s">
        <v>370</v>
      </c>
      <c r="B27" s="18" t="s">
        <v>371</v>
      </c>
      <c r="C27" s="26"/>
      <c r="D27" s="26"/>
      <c r="E27" s="26"/>
    </row>
    <row r="28">
      <c r="A28" s="27" t="s">
        <v>372</v>
      </c>
      <c r="B28" s="27" t="s">
        <v>373</v>
      </c>
      <c r="C28" s="19"/>
      <c r="D28" s="27" t="s">
        <v>374</v>
      </c>
      <c r="E28" s="19"/>
    </row>
    <row r="29">
      <c r="A29" s="18" t="s">
        <v>62</v>
      </c>
      <c r="B29" s="18" t="s">
        <v>93</v>
      </c>
      <c r="C29" s="26"/>
      <c r="D29" s="26"/>
      <c r="E29" s="26"/>
    </row>
    <row r="30">
      <c r="A30" s="27" t="s">
        <v>63</v>
      </c>
      <c r="B30" s="27" t="s">
        <v>375</v>
      </c>
      <c r="C30" s="19"/>
      <c r="D30" s="19"/>
      <c r="E30" s="19"/>
    </row>
    <row r="31">
      <c r="A31" s="18" t="s">
        <v>176</v>
      </c>
      <c r="B31" s="18" t="s">
        <v>376</v>
      </c>
      <c r="C31" s="26"/>
      <c r="D31" s="26"/>
      <c r="E31" s="26"/>
    </row>
    <row r="32">
      <c r="A32" s="19"/>
      <c r="B32" s="19"/>
      <c r="C32" s="19"/>
      <c r="D32" s="19"/>
      <c r="E32" s="19"/>
    </row>
    <row r="33">
      <c r="A33" s="26"/>
      <c r="B33" s="26"/>
      <c r="C33" s="26"/>
      <c r="D33" s="26"/>
      <c r="E33" s="26"/>
    </row>
    <row r="34">
      <c r="A34" s="19"/>
      <c r="B34" s="19"/>
      <c r="C34" s="19"/>
      <c r="D34" s="19"/>
      <c r="E34" s="19"/>
    </row>
    <row r="35">
      <c r="A35" s="26"/>
      <c r="B35" s="26"/>
      <c r="C35" s="26"/>
      <c r="D35" s="26"/>
      <c r="E35" s="26"/>
    </row>
  </sheetData>
  <hyperlinks>
    <hyperlink r:id="rId1" ref="A20"/>
    <hyperlink r:id="rId2" ref="A21"/>
    <hyperlink r:id="rId3" ref="A22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13"/>
    <col customWidth="1" min="2" max="2" width="16.38"/>
    <col customWidth="1" min="3" max="3" width="18.88"/>
    <col customWidth="1" min="4" max="4" width="13.88"/>
    <col customWidth="1" min="5" max="5" width="16.38"/>
    <col customWidth="1" min="6" max="6" width="20.13"/>
    <col customWidth="1" min="7" max="7" width="13.88"/>
  </cols>
  <sheetData>
    <row r="1" ht="27.0" customHeight="1">
      <c r="A1" s="28" t="s">
        <v>377</v>
      </c>
      <c r="B1" s="41"/>
      <c r="C1" s="41"/>
      <c r="D1" s="41"/>
      <c r="E1" s="41"/>
      <c r="F1" s="41"/>
      <c r="G1" s="30"/>
    </row>
    <row r="2">
      <c r="A2" s="3" t="s">
        <v>378</v>
      </c>
      <c r="B2" s="4"/>
      <c r="C2" s="4"/>
      <c r="D2" s="3" t="s">
        <v>379</v>
      </c>
      <c r="E2" s="4"/>
      <c r="F2" s="4"/>
      <c r="G2" s="4"/>
    </row>
    <row r="3">
      <c r="A3" s="16"/>
      <c r="B3" s="16"/>
      <c r="C3" s="16"/>
      <c r="D3" s="16"/>
      <c r="E3" s="16"/>
      <c r="F3" s="16"/>
      <c r="G3" s="16"/>
    </row>
    <row r="4">
      <c r="A4" s="51" t="s">
        <v>380</v>
      </c>
      <c r="B4" s="52"/>
      <c r="C4" s="52"/>
      <c r="D4" s="52"/>
      <c r="E4" s="52"/>
      <c r="F4" s="52"/>
      <c r="G4" s="52"/>
    </row>
    <row r="5">
      <c r="A5" s="9" t="s">
        <v>64</v>
      </c>
      <c r="B5" s="9" t="s">
        <v>123</v>
      </c>
      <c r="C5" s="9" t="s">
        <v>381</v>
      </c>
      <c r="D5" s="9" t="s">
        <v>382</v>
      </c>
      <c r="E5" s="9" t="s">
        <v>383</v>
      </c>
      <c r="F5" s="9" t="s">
        <v>384</v>
      </c>
      <c r="G5" s="9" t="s">
        <v>385</v>
      </c>
    </row>
    <row r="6">
      <c r="A6" s="82" t="s">
        <v>386</v>
      </c>
      <c r="B6" s="82" t="s">
        <v>387</v>
      </c>
      <c r="C6" s="82" t="s">
        <v>388</v>
      </c>
      <c r="D6" s="82" t="s">
        <v>389</v>
      </c>
      <c r="E6" s="82" t="s">
        <v>390</v>
      </c>
      <c r="F6" s="82" t="s">
        <v>391</v>
      </c>
      <c r="G6" s="82" t="s">
        <v>392</v>
      </c>
    </row>
    <row r="7">
      <c r="A7" s="27" t="s">
        <v>393</v>
      </c>
      <c r="B7" s="27" t="s">
        <v>394</v>
      </c>
      <c r="C7" s="27" t="s">
        <v>395</v>
      </c>
      <c r="D7" s="27" t="s">
        <v>396</v>
      </c>
      <c r="E7" s="27" t="s">
        <v>397</v>
      </c>
      <c r="F7" s="27" t="s">
        <v>391</v>
      </c>
      <c r="G7" s="27" t="s">
        <v>398</v>
      </c>
    </row>
    <row r="8">
      <c r="A8" s="83" t="s">
        <v>399</v>
      </c>
      <c r="B8" s="83" t="s">
        <v>400</v>
      </c>
      <c r="C8" s="83" t="s">
        <v>401</v>
      </c>
      <c r="D8" s="83" t="s">
        <v>402</v>
      </c>
      <c r="E8" s="83" t="s">
        <v>403</v>
      </c>
      <c r="F8" s="83" t="s">
        <v>404</v>
      </c>
      <c r="G8" s="83" t="s">
        <v>398</v>
      </c>
    </row>
    <row r="9">
      <c r="A9" s="16"/>
      <c r="B9" s="16"/>
      <c r="C9" s="16"/>
      <c r="D9" s="16"/>
      <c r="E9" s="16"/>
      <c r="F9" s="16"/>
      <c r="G9" s="16"/>
    </row>
    <row r="10">
      <c r="A10" s="51" t="s">
        <v>405</v>
      </c>
      <c r="B10" s="52"/>
      <c r="C10" s="52"/>
      <c r="D10" s="52"/>
      <c r="E10" s="52"/>
      <c r="F10" s="52"/>
      <c r="G10" s="52"/>
    </row>
    <row r="11">
      <c r="A11" s="9" t="s">
        <v>64</v>
      </c>
      <c r="B11" s="9" t="s">
        <v>123</v>
      </c>
      <c r="C11" s="9" t="s">
        <v>381</v>
      </c>
      <c r="D11" s="9" t="s">
        <v>382</v>
      </c>
      <c r="E11" s="9" t="s">
        <v>383</v>
      </c>
      <c r="F11" s="9" t="s">
        <v>384</v>
      </c>
      <c r="G11" s="9" t="s">
        <v>385</v>
      </c>
    </row>
    <row r="12">
      <c r="A12" s="82" t="s">
        <v>406</v>
      </c>
      <c r="B12" s="82" t="s">
        <v>407</v>
      </c>
      <c r="C12" s="82" t="s">
        <v>408</v>
      </c>
      <c r="D12" s="82" t="s">
        <v>396</v>
      </c>
      <c r="E12" s="82" t="s">
        <v>409</v>
      </c>
      <c r="F12" s="82" t="s">
        <v>391</v>
      </c>
      <c r="G12" s="82" t="s">
        <v>398</v>
      </c>
    </row>
    <row r="13">
      <c r="A13" s="27" t="s">
        <v>410</v>
      </c>
      <c r="B13" s="27" t="s">
        <v>411</v>
      </c>
      <c r="C13" s="27" t="s">
        <v>412</v>
      </c>
      <c r="D13" s="27" t="s">
        <v>413</v>
      </c>
      <c r="E13" s="27" t="s">
        <v>414</v>
      </c>
      <c r="F13" s="27" t="s">
        <v>404</v>
      </c>
      <c r="G13" s="27" t="s">
        <v>398</v>
      </c>
    </row>
    <row r="14">
      <c r="A14" s="83" t="s">
        <v>415</v>
      </c>
      <c r="B14" s="83" t="s">
        <v>416</v>
      </c>
      <c r="C14" s="83" t="s">
        <v>416</v>
      </c>
      <c r="D14" s="83" t="s">
        <v>416</v>
      </c>
      <c r="E14" s="83" t="s">
        <v>417</v>
      </c>
      <c r="F14" s="83" t="s">
        <v>418</v>
      </c>
      <c r="G14" s="83" t="s">
        <v>398</v>
      </c>
    </row>
    <row r="15">
      <c r="A15" s="16"/>
      <c r="B15" s="16"/>
      <c r="C15" s="16"/>
      <c r="D15" s="16"/>
      <c r="E15" s="16"/>
      <c r="F15" s="16"/>
      <c r="G15" s="16"/>
    </row>
    <row r="16">
      <c r="A16" s="51" t="s">
        <v>419</v>
      </c>
      <c r="B16" s="52"/>
      <c r="C16" s="52"/>
      <c r="D16" s="52"/>
      <c r="E16" s="52"/>
      <c r="F16" s="52"/>
      <c r="G16" s="52"/>
    </row>
    <row r="17">
      <c r="A17" s="9" t="s">
        <v>64</v>
      </c>
      <c r="B17" s="9" t="s">
        <v>123</v>
      </c>
      <c r="C17" s="9" t="s">
        <v>381</v>
      </c>
      <c r="D17" s="9" t="s">
        <v>382</v>
      </c>
      <c r="E17" s="9" t="s">
        <v>383</v>
      </c>
      <c r="F17" s="9" t="s">
        <v>384</v>
      </c>
      <c r="G17" s="17"/>
    </row>
    <row r="18">
      <c r="A18" s="27" t="s">
        <v>91</v>
      </c>
      <c r="B18" s="27" t="s">
        <v>416</v>
      </c>
      <c r="C18" s="27" t="s">
        <v>416</v>
      </c>
      <c r="D18" s="27" t="s">
        <v>416</v>
      </c>
      <c r="E18" s="27" t="s">
        <v>106</v>
      </c>
      <c r="F18" s="27" t="s">
        <v>106</v>
      </c>
      <c r="G18" s="19"/>
    </row>
    <row r="19">
      <c r="A19" s="52"/>
      <c r="B19" s="52"/>
      <c r="C19" s="52"/>
      <c r="D19" s="52"/>
      <c r="E19" s="52"/>
      <c r="F19" s="52"/>
      <c r="G19" s="52"/>
    </row>
    <row r="20">
      <c r="A20" s="9" t="s">
        <v>420</v>
      </c>
      <c r="B20" s="17"/>
      <c r="C20" s="17"/>
      <c r="D20" s="17"/>
      <c r="E20" s="17"/>
      <c r="F20" s="17"/>
      <c r="G20" s="17"/>
    </row>
    <row r="21">
      <c r="A21" s="15" t="s">
        <v>421</v>
      </c>
      <c r="B21" s="15" t="s">
        <v>422</v>
      </c>
      <c r="C21" s="15" t="s">
        <v>423</v>
      </c>
      <c r="D21" s="15" t="s">
        <v>424</v>
      </c>
      <c r="E21" s="16"/>
      <c r="F21" s="16"/>
      <c r="G21" s="16"/>
    </row>
    <row r="22">
      <c r="A22" s="27" t="s">
        <v>425</v>
      </c>
      <c r="B22" s="27" t="s">
        <v>426</v>
      </c>
      <c r="C22" s="27" t="s">
        <v>426</v>
      </c>
      <c r="D22" s="27" t="s">
        <v>426</v>
      </c>
      <c r="E22" s="19"/>
      <c r="F22" s="19"/>
      <c r="G22" s="19"/>
    </row>
    <row r="23">
      <c r="A23" s="18" t="s">
        <v>427</v>
      </c>
      <c r="B23" s="18" t="s">
        <v>426</v>
      </c>
      <c r="C23" s="18" t="s">
        <v>426</v>
      </c>
      <c r="D23" s="18" t="s">
        <v>426</v>
      </c>
      <c r="E23" s="26"/>
      <c r="F23" s="26"/>
      <c r="G23" s="26"/>
    </row>
    <row r="24">
      <c r="A24" s="27" t="s">
        <v>428</v>
      </c>
      <c r="B24" s="27" t="s">
        <v>138</v>
      </c>
      <c r="C24" s="27" t="s">
        <v>429</v>
      </c>
      <c r="D24" s="27" t="s">
        <v>430</v>
      </c>
      <c r="E24" s="19"/>
      <c r="F24" s="19"/>
      <c r="G24" s="19"/>
    </row>
    <row r="25">
      <c r="A25" s="84" t="s">
        <v>431</v>
      </c>
      <c r="B25" s="84" t="s">
        <v>426</v>
      </c>
      <c r="C25" s="84" t="s">
        <v>426</v>
      </c>
      <c r="D25" s="84" t="s">
        <v>426</v>
      </c>
      <c r="E25" s="85"/>
      <c r="F25" s="85"/>
      <c r="G25" s="85"/>
    </row>
    <row r="26">
      <c r="A26" s="27" t="s">
        <v>432</v>
      </c>
      <c r="B26" s="27" t="s">
        <v>426</v>
      </c>
      <c r="C26" s="27" t="s">
        <v>426</v>
      </c>
      <c r="D26" s="27" t="s">
        <v>426</v>
      </c>
      <c r="E26" s="19"/>
      <c r="F26" s="19"/>
      <c r="G26" s="19"/>
    </row>
    <row r="27">
      <c r="A27" s="18" t="s">
        <v>433</v>
      </c>
      <c r="B27" s="18" t="s">
        <v>434</v>
      </c>
      <c r="C27" s="18" t="s">
        <v>435</v>
      </c>
      <c r="D27" s="18" t="s">
        <v>436</v>
      </c>
      <c r="E27" s="26"/>
      <c r="F27" s="26"/>
      <c r="G27" s="26"/>
    </row>
    <row r="28">
      <c r="A28" s="27" t="s">
        <v>437</v>
      </c>
      <c r="B28" s="27" t="s">
        <v>392</v>
      </c>
      <c r="C28" s="27" t="s">
        <v>426</v>
      </c>
      <c r="D28" s="27" t="s">
        <v>438</v>
      </c>
      <c r="E28" s="19"/>
      <c r="F28" s="19"/>
      <c r="G28" s="19"/>
    </row>
    <row r="29">
      <c r="A29" s="18" t="s">
        <v>439</v>
      </c>
      <c r="B29" s="18" t="s">
        <v>392</v>
      </c>
      <c r="C29" s="18" t="s">
        <v>392</v>
      </c>
      <c r="D29" s="18" t="s">
        <v>426</v>
      </c>
      <c r="E29" s="26"/>
      <c r="F29" s="26"/>
      <c r="G29" s="26"/>
    </row>
    <row r="30">
      <c r="A30" s="52"/>
      <c r="B30" s="52"/>
      <c r="C30" s="52"/>
      <c r="D30" s="52"/>
      <c r="E30" s="52"/>
      <c r="F30" s="52"/>
      <c r="G30" s="52"/>
    </row>
    <row r="31">
      <c r="A31" s="18" t="s">
        <v>440</v>
      </c>
      <c r="B31" s="26"/>
      <c r="C31" s="26"/>
      <c r="D31" s="26"/>
      <c r="E31" s="26"/>
      <c r="F31" s="26"/>
      <c r="G31" s="26"/>
    </row>
    <row r="32">
      <c r="A32" s="27" t="s">
        <v>441</v>
      </c>
      <c r="B32" s="27" t="s">
        <v>442</v>
      </c>
      <c r="C32" s="19"/>
      <c r="D32" s="19"/>
      <c r="E32" s="19"/>
      <c r="F32" s="19"/>
      <c r="G32" s="19"/>
    </row>
    <row r="33">
      <c r="A33" s="18" t="s">
        <v>443</v>
      </c>
      <c r="B33" s="18" t="s">
        <v>444</v>
      </c>
      <c r="C33" s="26"/>
      <c r="D33" s="26"/>
      <c r="E33" s="26"/>
      <c r="F33" s="26"/>
      <c r="G33" s="26"/>
    </row>
    <row r="34">
      <c r="A34" s="27" t="s">
        <v>445</v>
      </c>
      <c r="B34" s="27" t="s">
        <v>446</v>
      </c>
      <c r="C34" s="19"/>
      <c r="D34" s="19"/>
      <c r="E34" s="19"/>
      <c r="F34" s="19"/>
      <c r="G34" s="19"/>
    </row>
    <row r="35">
      <c r="A35" s="18" t="s">
        <v>447</v>
      </c>
      <c r="B35" s="18" t="s">
        <v>448</v>
      </c>
      <c r="C35" s="26"/>
      <c r="D35" s="26"/>
      <c r="E35" s="26"/>
      <c r="F35" s="26"/>
      <c r="G35" s="26"/>
    </row>
  </sheetData>
  <drawing r:id="rId1"/>
</worksheet>
</file>